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essoa Física" sheetId="1" state="visible" r:id="rId1"/>
    <sheet name="Meios de Pagamen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"/>
    <numFmt numFmtId="165" formatCode="[$R$]#,##0.00"/>
  </numFmts>
  <fonts count="21">
    <font>
      <name val="Calibri"/>
      <color rgb="FF000000"/>
      <sz val="11"/>
      <scheme val="minor"/>
    </font>
    <font>
      <name val="Manrope"/>
      <b val="1"/>
      <color theme="1"/>
      <sz val="12"/>
    </font>
    <font>
      <name val="Manrope"/>
      <b val="1"/>
      <color rgb="FFFFFFFF"/>
      <sz val="12"/>
    </font>
    <font>
      <name val="Manrope"/>
      <b val="1"/>
      <color theme="1"/>
      <sz val="14"/>
    </font>
    <font>
      <name val="Manrope"/>
      <b val="1"/>
      <color rgb="FFFFFFFF"/>
      <sz val="14"/>
    </font>
    <font>
      <name val="Manrope"/>
      <b val="1"/>
      <color theme="0"/>
      <sz val="14"/>
    </font>
    <font/>
    <font>
      <name val="Manrope"/>
      <b val="1"/>
      <color rgb="FF000000"/>
      <sz val="11"/>
    </font>
    <font>
      <name val="Manrope"/>
      <b val="1"/>
      <color rgb="FF000000"/>
      <sz val="12"/>
    </font>
    <font>
      <name val="Manrope"/>
      <b val="1"/>
      <color rgb="FF7D8AFF"/>
      <sz val="12"/>
    </font>
    <font>
      <name val="Manrope"/>
      <color rgb="FF000000"/>
      <sz val="11"/>
    </font>
    <font>
      <name val="Calibri"/>
      <color rgb="FF000000"/>
      <sz val="11"/>
    </font>
    <font>
      <name val="Calibri"/>
      <b val="1"/>
      <color rgb="FF7D8AFF"/>
      <sz val="12"/>
    </font>
    <font>
      <name val="Libre Franklin"/>
      <b val="1"/>
      <color rgb="FFFFFFFF"/>
      <sz val="12"/>
    </font>
    <font>
      <name val="Calibri"/>
      <b val="1"/>
      <color rgb="FF44546A"/>
      <sz val="11"/>
    </font>
    <font>
      <name val="Manrope"/>
      <b val="1"/>
      <color rgb="FF44546A"/>
      <sz val="12"/>
    </font>
    <font>
      <name val="Libre Franklin"/>
      <b val="1"/>
      <color theme="1"/>
      <sz val="12"/>
    </font>
    <font>
      <name val="Libre Franklin"/>
      <b val="1"/>
      <color rgb="FFFFFFFF"/>
      <sz val="13"/>
    </font>
    <font>
      <name val="Libre Franklin"/>
      <color rgb="FF000000"/>
      <sz val="11"/>
    </font>
    <font>
      <name val="Manrope"/>
      <b val="1"/>
      <color theme="1"/>
    </font>
    <font>
      <name val="Manrope"/>
      <color theme="1"/>
    </font>
  </fonts>
  <fills count="12">
    <fill>
      <patternFill/>
    </fill>
    <fill>
      <patternFill patternType="lightGray"/>
    </fill>
    <fill>
      <patternFill patternType="solid">
        <fgColor rgb="FFFFEC64"/>
        <bgColor rgb="FFFFEC64"/>
      </patternFill>
    </fill>
    <fill>
      <patternFill patternType="solid">
        <fgColor rgb="FF7D8AFF"/>
        <bgColor rgb="FF7D8AFF"/>
      </patternFill>
    </fill>
    <fill>
      <patternFill patternType="solid">
        <fgColor rgb="FFA9B1FF"/>
        <bgColor rgb="FFA9B1FF"/>
      </patternFill>
    </fill>
    <fill>
      <patternFill patternType="solid">
        <fgColor rgb="FFE6483F"/>
        <bgColor rgb="FFE6483F"/>
      </patternFill>
    </fill>
    <fill>
      <patternFill patternType="solid">
        <fgColor rgb="FFFFF7C5"/>
        <bgColor rgb="FFFFF7C5"/>
      </patternFill>
    </fill>
    <fill>
      <patternFill patternType="solid">
        <fgColor rgb="FFE6E8FF"/>
        <bgColor rgb="FFE6E8FF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838AFF"/>
        <bgColor rgb="FF838AFF"/>
      </patternFill>
    </fill>
    <fill>
      <patternFill patternType="solid">
        <fgColor rgb="FF83E9AF"/>
        <bgColor rgb="FF83E9AF"/>
      </patternFill>
    </fill>
  </fills>
  <borders count="22">
    <border/>
    <border>
      <left style="medium">
        <color rgb="FF666666"/>
      </left>
      <right style="thin">
        <color rgb="FF666666"/>
      </right>
      <top style="medium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medium">
        <color rgb="FF666666"/>
      </top>
      <bottom style="thin">
        <color rgb="FF666666"/>
      </bottom>
    </border>
    <border>
      <left style="thin">
        <color rgb="FF666666"/>
      </left>
      <right style="medium">
        <color rgb="FF666666"/>
      </right>
      <top style="medium">
        <color rgb="FF666666"/>
      </top>
      <bottom style="thin">
        <color rgb="FF666666"/>
      </bottom>
    </border>
    <border>
      <left style="medium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medium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medium">
        <color rgb="FF666666"/>
      </right>
      <top style="thin">
        <color rgb="FF666666"/>
      </top>
      <bottom style="thin">
        <color rgb="FF666666"/>
      </bottom>
    </border>
    <border>
      <left style="medium">
        <color rgb="FF666666"/>
      </left>
      <right style="thin">
        <color rgb="FF666666"/>
      </right>
      <top style="thin">
        <color rgb="FF666666"/>
      </top>
      <bottom style="medium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medium">
        <color rgb="FF666666"/>
      </bottom>
    </border>
    <border>
      <left style="thin">
        <color rgb="FF666666"/>
      </left>
      <right style="medium">
        <color rgb="FF666666"/>
      </right>
      <top style="thin">
        <color rgb="FF666666"/>
      </top>
      <bottom style="medium">
        <color rgb="FF666666"/>
      </bottom>
    </border>
    <border>
      <left style="medium">
        <color rgb="FF666666"/>
      </left>
      <top style="medium">
        <color rgb="FF666666"/>
      </top>
      <bottom style="medium">
        <color rgb="FF666666"/>
      </bottom>
    </border>
    <border>
      <top style="medium">
        <color rgb="FF666666"/>
      </top>
      <bottom style="medium">
        <color rgb="FF666666"/>
      </bottom>
    </border>
    <border>
      <right style="medium">
        <color rgb="FF666666"/>
      </right>
      <top style="medium">
        <color rgb="FF666666"/>
      </top>
      <bottom style="medium">
        <color rgb="FF666666"/>
      </bottom>
    </border>
    <border>
      <left/>
      <right/>
    </border>
    <border>
      <left style="medium">
        <color rgb="FF666666"/>
      </left>
      <right/>
      <top style="medium">
        <color rgb="FF666666"/>
      </top>
      <bottom style="medium">
        <color rgb="FF666666"/>
      </bottom>
    </border>
    <border>
      <left/>
      <right/>
      <top style="medium">
        <color rgb="FF666666"/>
      </top>
      <bottom style="medium">
        <color rgb="FF666666"/>
      </bottom>
    </border>
    <border>
      <left/>
      <right style="medium">
        <color rgb="FF666666"/>
      </right>
      <top style="medium">
        <color rgb="FF666666"/>
      </top>
      <bottom style="medium">
        <color rgb="FF666666"/>
      </bottom>
    </border>
    <border>
      <top style="thin">
        <color rgb="FF666666"/>
      </top>
    </border>
    <border>
      <right style="medium">
        <color rgb="FF666666"/>
      </right>
      <top style="thin">
        <color rgb="FF666666"/>
      </top>
    </border>
  </borders>
  <cellStyleXfs count="1">
    <xf numFmtId="0" fontId="0" fillId="0" borderId="0"/>
  </cellStyleXfs>
  <cellXfs count="6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17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7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2" fillId="5" borderId="4" applyAlignment="1" pivotButton="0" quotePrefix="0" xfId="0">
      <alignment vertical="center"/>
    </xf>
    <xf numFmtId="0" fontId="3" fillId="5" borderId="5" pivotButton="0" quotePrefix="0" xfId="0"/>
    <xf numFmtId="0" fontId="6" fillId="0" borderId="6" pivotButton="0" quotePrefix="0" xfId="0"/>
    <xf numFmtId="0" fontId="6" fillId="0" borderId="7" pivotButton="0" quotePrefix="0" xfId="0"/>
    <xf numFmtId="0" fontId="7" fillId="0" borderId="0" pivotButton="0" quotePrefix="0" xfId="0"/>
    <xf numFmtId="0" fontId="8" fillId="2" borderId="4" pivotButton="0" quotePrefix="0" xfId="0"/>
    <xf numFmtId="164" fontId="9" fillId="4" borderId="5" pivotButton="0" quotePrefix="0" xfId="0"/>
    <xf numFmtId="0" fontId="10" fillId="0" borderId="0" pivotButton="0" quotePrefix="0" xfId="0"/>
    <xf numFmtId="0" fontId="8" fillId="6" borderId="4" pivotButton="0" quotePrefix="0" xfId="0"/>
    <xf numFmtId="165" fontId="9" fillId="7" borderId="8" pivotButton="0" quotePrefix="0" xfId="0"/>
    <xf numFmtId="165" fontId="9" fillId="7" borderId="9" pivotButton="0" quotePrefix="0" xfId="0"/>
    <xf numFmtId="165" fontId="9" fillId="4" borderId="5" pivotButton="0" quotePrefix="0" xfId="0"/>
    <xf numFmtId="0" fontId="8" fillId="6" borderId="4" pivotButton="0" quotePrefix="0" xfId="0"/>
    <xf numFmtId="165" fontId="9" fillId="7" borderId="5" pivotButton="0" quotePrefix="0" xfId="0"/>
    <xf numFmtId="0" fontId="11" fillId="0" borderId="0" pivotButton="0" quotePrefix="0" xfId="0"/>
    <xf numFmtId="165" fontId="12" fillId="7" borderId="8" pivotButton="0" quotePrefix="0" xfId="0"/>
    <xf numFmtId="165" fontId="12" fillId="7" borderId="9" pivotButton="0" quotePrefix="0" xfId="0"/>
    <xf numFmtId="0" fontId="13" fillId="0" borderId="0" pivotButton="0" quotePrefix="0" xfId="0"/>
    <xf numFmtId="0" fontId="2" fillId="8" borderId="10" pivotButton="0" quotePrefix="0" xfId="0"/>
    <xf numFmtId="165" fontId="2" fillId="8" borderId="11" pivotButton="0" quotePrefix="0" xfId="0"/>
    <xf numFmtId="165" fontId="2" fillId="8" borderId="12" pivotButton="0" quotePrefix="0" xfId="0"/>
    <xf numFmtId="0" fontId="14" fillId="0" borderId="0" pivotButton="0" quotePrefix="0" xfId="0"/>
    <xf numFmtId="0" fontId="15" fillId="0" borderId="0" pivotButton="0" quotePrefix="0" xfId="0"/>
    <xf numFmtId="165" fontId="8" fillId="0" borderId="0" pivotButton="0" quotePrefix="0" xfId="0"/>
    <xf numFmtId="165" fontId="1" fillId="0" borderId="0" pivotButton="0" quotePrefix="0" xfId="0"/>
    <xf numFmtId="0" fontId="16" fillId="0" borderId="0" pivotButton="0" quotePrefix="0" xfId="0"/>
    <xf numFmtId="0" fontId="1" fillId="2" borderId="13" pivotButton="0" quotePrefix="0" xfId="0"/>
    <xf numFmtId="165" fontId="1" fillId="2" borderId="14" pivotButton="0" quotePrefix="0" xfId="0"/>
    <xf numFmtId="165" fontId="1" fillId="2" borderId="14" pivotButton="0" quotePrefix="0" xfId="0"/>
    <xf numFmtId="165" fontId="2" fillId="2" borderId="14" pivotButton="0" quotePrefix="0" xfId="0"/>
    <xf numFmtId="165" fontId="2" fillId="2" borderId="15" pivotButton="0" quotePrefix="0" xfId="0"/>
    <xf numFmtId="165" fontId="8" fillId="9" borderId="16" pivotButton="0" quotePrefix="0" xfId="0"/>
    <xf numFmtId="0" fontId="17" fillId="0" borderId="0" pivotButton="0" quotePrefix="0" xfId="0"/>
    <xf numFmtId="0" fontId="2" fillId="10" borderId="17" pivotButton="0" quotePrefix="0" xfId="0"/>
    <xf numFmtId="165" fontId="2" fillId="10" borderId="18" pivotButton="0" quotePrefix="0" xfId="0"/>
    <xf numFmtId="165" fontId="2" fillId="10" borderId="19" pivotButton="0" quotePrefix="0" xfId="0"/>
    <xf numFmtId="0" fontId="1" fillId="0" borderId="0" pivotButton="0" quotePrefix="0" xfId="0"/>
    <xf numFmtId="0" fontId="1" fillId="11" borderId="17" pivotButton="0" quotePrefix="0" xfId="0"/>
    <xf numFmtId="165" fontId="1" fillId="11" borderId="18" pivotButton="0" quotePrefix="0" xfId="0"/>
    <xf numFmtId="0" fontId="1" fillId="11" borderId="18" pivotButton="0" quotePrefix="0" xfId="0"/>
    <xf numFmtId="165" fontId="1" fillId="11" borderId="19" pivotButton="0" quotePrefix="0" xfId="0"/>
    <xf numFmtId="0" fontId="18" fillId="0" borderId="0" pivotButton="0" quotePrefix="0" xfId="0"/>
    <xf numFmtId="0" fontId="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0" fillId="0" borderId="0" pivotButton="0" quotePrefix="0" xfId="0"/>
    <xf numFmtId="0" fontId="3" fillId="5" borderId="9" pivotButton="0" quotePrefix="0" xfId="0"/>
    <xf numFmtId="0" fontId="0" fillId="0" borderId="6" pivotButton="0" quotePrefix="0" xfId="0"/>
    <xf numFmtId="0" fontId="0" fillId="0" borderId="7" pivotButton="0" quotePrefix="0" xfId="0"/>
    <xf numFmtId="164" fontId="9" fillId="4" borderId="9" pivotButton="0" quotePrefix="0" xfId="0"/>
    <xf numFmtId="165" fontId="9" fillId="4" borderId="9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4.43" defaultRowHeight="15" customHeight="1" outlineLevelCol="0"/>
  <cols>
    <col width="4.43" customWidth="1" style="55" min="1" max="1"/>
    <col width="44.29" customWidth="1" style="55" min="2" max="2"/>
    <col width="20.71" customWidth="1" style="55" min="3" max="27"/>
  </cols>
  <sheetData>
    <row r="1" ht="18.75" customHeight="1" s="55">
      <c r="A1" s="1" t="n"/>
      <c r="B1" s="1" t="n"/>
      <c r="C1" s="2" t="n"/>
      <c r="D1" s="3" t="n"/>
      <c r="E1" s="2" t="n"/>
      <c r="F1" s="3" t="n"/>
      <c r="G1" s="2" t="n"/>
      <c r="H1" s="3" t="n"/>
      <c r="I1" s="2" t="n"/>
      <c r="J1" s="3" t="n"/>
      <c r="K1" s="2" t="n"/>
      <c r="L1" s="3" t="n"/>
      <c r="M1" s="2" t="n"/>
      <c r="N1" s="3" t="n"/>
      <c r="O1" s="2" t="n"/>
      <c r="P1" s="3" t="n"/>
      <c r="Q1" s="2" t="n"/>
      <c r="R1" s="3" t="n"/>
      <c r="S1" s="2" t="n"/>
      <c r="T1" s="3" t="n"/>
      <c r="U1" s="2" t="n"/>
      <c r="V1" s="3" t="n"/>
      <c r="W1" s="2" t="n"/>
      <c r="X1" s="3" t="n"/>
      <c r="Y1" s="2" t="n"/>
      <c r="Z1" s="3" t="n"/>
      <c r="AA1" s="4" t="n"/>
    </row>
    <row r="2" ht="47.25" customHeight="1" s="55">
      <c r="A2" s="1" t="n"/>
      <c r="B2" s="5" t="inlineStr">
        <is>
          <t>MESES</t>
        </is>
      </c>
      <c r="C2" s="6" t="n">
        <v>46174</v>
      </c>
      <c r="D2" s="7" t="inlineStr">
        <is>
          <t>Meio de Pagamento</t>
        </is>
      </c>
      <c r="E2" s="6" t="n">
        <v>46204</v>
      </c>
      <c r="F2" s="7" t="inlineStr">
        <is>
          <t>Meio de Pagamento</t>
        </is>
      </c>
      <c r="G2" s="6" t="n">
        <v>46235</v>
      </c>
      <c r="H2" s="7" t="inlineStr">
        <is>
          <t>Meio de Pagamento</t>
        </is>
      </c>
      <c r="I2" s="6" t="n">
        <v>46266</v>
      </c>
      <c r="J2" s="7" t="inlineStr">
        <is>
          <t>Meio de Pagamento</t>
        </is>
      </c>
      <c r="K2" s="6" t="n">
        <v>46296</v>
      </c>
      <c r="L2" s="7" t="inlineStr">
        <is>
          <t>Meio de Pagamento</t>
        </is>
      </c>
      <c r="M2" s="6" t="n">
        <v>46327</v>
      </c>
      <c r="N2" s="7" t="inlineStr">
        <is>
          <t>Meio de Pagamento</t>
        </is>
      </c>
      <c r="O2" s="6" t="n">
        <v>46357</v>
      </c>
      <c r="P2" s="7" t="inlineStr">
        <is>
          <t>Meio de Pagamento</t>
        </is>
      </c>
      <c r="Q2" s="6" t="n">
        <v>46388</v>
      </c>
      <c r="R2" s="7" t="inlineStr">
        <is>
          <t>Meio de Pagamento</t>
        </is>
      </c>
      <c r="S2" s="6" t="n">
        <v>46419</v>
      </c>
      <c r="T2" s="7" t="inlineStr">
        <is>
          <t>Meio de Pagamento</t>
        </is>
      </c>
      <c r="U2" s="6" t="n">
        <v>46447</v>
      </c>
      <c r="V2" s="7" t="inlineStr">
        <is>
          <t>Meio de Pagamento</t>
        </is>
      </c>
      <c r="W2" s="6" t="n">
        <v>46478</v>
      </c>
      <c r="X2" s="7" t="inlineStr">
        <is>
          <t>Meio de Pagamento</t>
        </is>
      </c>
      <c r="Y2" s="6" t="n">
        <v>46508</v>
      </c>
      <c r="Z2" s="7" t="inlineStr">
        <is>
          <t>Meio de Pagamento</t>
        </is>
      </c>
      <c r="AA2" s="8" t="inlineStr">
        <is>
          <t>TOTAL</t>
        </is>
      </c>
    </row>
    <row r="3" ht="16.5" customHeight="1" s="55">
      <c r="A3" s="9" t="n"/>
      <c r="B3" s="10" t="inlineStr">
        <is>
          <t>DESPESAS</t>
        </is>
      </c>
      <c r="C3" s="56" t="n"/>
      <c r="D3" s="57" t="n"/>
      <c r="E3" s="57" t="n"/>
      <c r="F3" s="57" t="n"/>
      <c r="G3" s="57" t="n"/>
      <c r="H3" s="57" t="n"/>
      <c r="I3" s="57" t="n"/>
      <c r="J3" s="57" t="n"/>
      <c r="K3" s="57" t="n"/>
      <c r="L3" s="57" t="n"/>
      <c r="M3" s="57" t="n"/>
      <c r="N3" s="57" t="n"/>
      <c r="O3" s="57" t="n"/>
      <c r="P3" s="57" t="n"/>
      <c r="Q3" s="57" t="n"/>
      <c r="R3" s="57" t="n"/>
      <c r="S3" s="57" t="n"/>
      <c r="T3" s="57" t="n"/>
      <c r="U3" s="57" t="n"/>
      <c r="V3" s="57" t="n"/>
      <c r="W3" s="57" t="n"/>
      <c r="X3" s="57" t="n"/>
      <c r="Y3" s="57" t="n"/>
      <c r="Z3" s="57" t="n"/>
      <c r="AA3" s="58" t="n"/>
    </row>
    <row r="4" ht="16.5" customHeight="1" s="55">
      <c r="A4" s="14" t="n"/>
      <c r="B4" s="15" t="inlineStr">
        <is>
          <t>ALIMENTAÇÃO</t>
        </is>
      </c>
      <c r="C4" s="59" t="n"/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  <c r="M4" s="57" t="n"/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  <c r="W4" s="57" t="n"/>
      <c r="X4" s="57" t="n"/>
      <c r="Y4" s="57" t="n"/>
      <c r="Z4" s="57" t="n"/>
      <c r="AA4" s="58" t="n"/>
    </row>
    <row r="5" ht="16.5" customHeight="1" s="55">
      <c r="A5" s="17" t="n"/>
      <c r="B5" s="22" t="inlineStr">
        <is>
          <t>Supermercado</t>
        </is>
      </c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  <c r="AA5" s="20">
        <f>SUM(C5,E5,G5,I5,K5,M5,O5,Q5,S5,U5,W5,Y5)</f>
        <v/>
      </c>
    </row>
    <row r="6" ht="16.5" customHeight="1" s="55">
      <c r="A6" s="17" t="n"/>
      <c r="B6" s="22" t="inlineStr">
        <is>
          <t>Feira / Sacolão</t>
        </is>
      </c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20">
        <f>SUM(C6,E6,G6,I6,K6,M6,O6,Q6,S6,U6,W6,Y6)</f>
        <v/>
      </c>
    </row>
    <row r="7" ht="16.5" customHeight="1" s="55">
      <c r="A7" s="17" t="n"/>
      <c r="B7" s="22" t="inlineStr">
        <is>
          <t>Padaria</t>
        </is>
      </c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20">
        <f>SUM(C7,E7,G7,I7,K7,M7,O7,Q7,S7,U7,W7,Y7)</f>
        <v/>
      </c>
    </row>
    <row r="8" ht="16.5" customHeight="1" s="55">
      <c r="A8" s="14" t="n"/>
      <c r="B8" s="15" t="inlineStr">
        <is>
          <t>MORADIA</t>
        </is>
      </c>
      <c r="C8" s="60" t="n"/>
      <c r="D8" s="57" t="n"/>
      <c r="E8" s="57" t="n"/>
      <c r="F8" s="57" t="n"/>
      <c r="G8" s="57" t="n"/>
      <c r="H8" s="57" t="n"/>
      <c r="I8" s="57" t="n"/>
      <c r="J8" s="57" t="n"/>
      <c r="K8" s="57" t="n"/>
      <c r="L8" s="57" t="n"/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  <c r="W8" s="57" t="n"/>
      <c r="X8" s="57" t="n"/>
      <c r="Y8" s="57" t="n"/>
      <c r="Z8" s="57" t="n"/>
      <c r="AA8" s="58" t="n"/>
    </row>
    <row r="9" ht="16.5" customHeight="1" s="55">
      <c r="A9" s="17" t="n"/>
      <c r="B9" s="22" t="inlineStr">
        <is>
          <t>Prestação / Aluguel de imóvel</t>
        </is>
      </c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20">
        <f>SUM(C9,E9,G9,I9,K9,M9,O9,Q9,S9,U9,W9,Y9)</f>
        <v/>
      </c>
    </row>
    <row r="10" ht="16.5" customHeight="1" s="55">
      <c r="A10" s="17" t="n"/>
      <c r="B10" s="22" t="inlineStr">
        <is>
          <t xml:space="preserve">Condomínio </t>
        </is>
      </c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20">
        <f>SUM(C10,E10,G10,I10,K10,M10,O10,Q10,S10,U10,W10,Y10)</f>
        <v/>
      </c>
    </row>
    <row r="11" ht="16.5" customHeight="1" s="55">
      <c r="A11" s="17" t="n"/>
      <c r="B11" s="22" t="inlineStr">
        <is>
          <t>Consumo de água</t>
        </is>
      </c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20">
        <f>SUM(C11,E11,G11,I11,K11,M11,O11,Q11,S11,U11,W11,Y11)</f>
        <v/>
      </c>
    </row>
    <row r="12" ht="16.5" customHeight="1" s="55">
      <c r="A12" s="17" t="n"/>
      <c r="B12" s="22" t="inlineStr">
        <is>
          <t>Energia</t>
        </is>
      </c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  <c r="AA12" s="20" t="n"/>
    </row>
    <row r="13" ht="16.5" customHeight="1" s="55">
      <c r="A13" s="17" t="n"/>
      <c r="B13" s="22" t="inlineStr">
        <is>
          <t>Internet</t>
        </is>
      </c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0" t="n"/>
    </row>
    <row r="14" ht="16.5" customHeight="1" s="55">
      <c r="A14" s="14" t="n"/>
      <c r="B14" s="15" t="inlineStr">
        <is>
          <t>EDUCAÇÃO</t>
        </is>
      </c>
      <c r="C14" s="60" t="n"/>
      <c r="D14" s="57" t="n"/>
      <c r="E14" s="57" t="n"/>
      <c r="F14" s="57" t="n"/>
      <c r="G14" s="57" t="n"/>
      <c r="H14" s="57" t="n"/>
      <c r="I14" s="57" t="n"/>
      <c r="J14" s="57" t="n"/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  <c r="Z14" s="57" t="n"/>
      <c r="AA14" s="58" t="n"/>
    </row>
    <row r="15" ht="16.5" customHeight="1" s="55">
      <c r="A15" s="17" t="n"/>
      <c r="B15" s="22" t="inlineStr">
        <is>
          <t>Matricula Escolar / Mensalidade</t>
        </is>
      </c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20">
        <f>SUM(C15,E15,G15,I15,K15,M15,O15,Q15,S15,U15,W15,Y15)</f>
        <v/>
      </c>
    </row>
    <row r="16" ht="16.5" customHeight="1" s="55">
      <c r="A16" s="17" t="n"/>
      <c r="B16" s="22" t="inlineStr">
        <is>
          <t>Material Escolar</t>
        </is>
      </c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20">
        <f>SUM(C16,E16,G16,I16,K16,M16,O16,Q16,S16,U16,W16,Y16)</f>
        <v/>
      </c>
    </row>
    <row r="17" ht="16.5" customHeight="1" s="55">
      <c r="A17" s="17" t="n"/>
      <c r="B17" s="22" t="inlineStr">
        <is>
          <t>Transporte Escolar</t>
        </is>
      </c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20">
        <f>SUM(C17,E17,G17,I17,K17,M17,O17,Q17,S17,U17,W17,Y17)</f>
        <v/>
      </c>
    </row>
    <row r="18" ht="16.5" customHeight="1" s="55">
      <c r="A18" s="14" t="n"/>
      <c r="B18" s="15" t="inlineStr">
        <is>
          <t>ANIMAL DE ESTIMAÇÃO</t>
        </is>
      </c>
      <c r="C18" s="60" t="n"/>
      <c r="D18" s="57" t="n"/>
      <c r="E18" s="57" t="n"/>
      <c r="F18" s="57" t="n"/>
      <c r="G18" s="57" t="n"/>
      <c r="H18" s="57" t="n"/>
      <c r="I18" s="57" t="n"/>
      <c r="J18" s="57" t="n"/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  <c r="Z18" s="57" t="n"/>
      <c r="AA18" s="58" t="n"/>
    </row>
    <row r="19" ht="16.5" customHeight="1" s="55">
      <c r="A19" s="17" t="n"/>
      <c r="B19" s="22" t="inlineStr">
        <is>
          <t>Ração</t>
        </is>
      </c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20">
        <f>SUM(C19,E19,G19,I19,K19,M19,O19,Q19,S19,U19,W19,Y19)</f>
        <v/>
      </c>
    </row>
    <row r="20" ht="16.5" customHeight="1" s="55">
      <c r="A20" s="17" t="n"/>
      <c r="B20" s="22" t="inlineStr">
        <is>
          <t>Banho / Tosa</t>
        </is>
      </c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20">
        <f>SUM(C20,E20,G20,I20,K20,M20,O20,Q20,S20,U20,W20,Y20)</f>
        <v/>
      </c>
    </row>
    <row r="21" ht="16.5" customHeight="1" s="55">
      <c r="A21" s="17" t="n"/>
      <c r="B21" s="22" t="inlineStr">
        <is>
          <t>Veterinário</t>
        </is>
      </c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20">
        <f>SUM(C21,E21,G21,I21,K21,M21,O21,Q21,S21,U21,W21,Y21)</f>
        <v/>
      </c>
    </row>
    <row r="22" ht="16.5" customHeight="1" s="55">
      <c r="A22" s="14" t="n"/>
      <c r="B22" s="15" t="inlineStr">
        <is>
          <t>SAÚDE</t>
        </is>
      </c>
      <c r="C22" s="60" t="n"/>
      <c r="D22" s="57" t="n"/>
      <c r="E22" s="57" t="n"/>
      <c r="F22" s="57" t="n"/>
      <c r="G22" s="57" t="n"/>
      <c r="H22" s="57" t="n"/>
      <c r="I22" s="57" t="n"/>
      <c r="J22" s="57" t="n"/>
      <c r="K22" s="57" t="n"/>
      <c r="L22" s="57" t="n"/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  <c r="Z22" s="57" t="n"/>
      <c r="AA22" s="58" t="n"/>
    </row>
    <row r="23" ht="16.5" customHeight="1" s="55">
      <c r="A23" s="17" t="n"/>
      <c r="B23" s="22" t="inlineStr">
        <is>
          <t>Plano de Saúde</t>
        </is>
      </c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20">
        <f>SUM(C23,E23,G23,I23,K23,M23,O23,Q23,S23,U23,W23,Y23)</f>
        <v/>
      </c>
    </row>
    <row r="24" ht="16.5" customHeight="1" s="55">
      <c r="A24" s="17" t="n"/>
      <c r="B24" s="22" t="inlineStr">
        <is>
          <t>Medicamentos</t>
        </is>
      </c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20">
        <f>SUM(C24,E24,G24,I24,K24,M24,O24,Q24,S24,U24,W24,Y24)</f>
        <v/>
      </c>
    </row>
    <row r="25" ht="16.5" customHeight="1" s="55">
      <c r="A25" s="17" t="n"/>
      <c r="B25" s="22" t="inlineStr">
        <is>
          <t>Dentista</t>
        </is>
      </c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20">
        <f>SUM(C25,E25,G25,I25,K25,M25,O25,Q25,S25,U25,W25,Y25)</f>
        <v/>
      </c>
    </row>
    <row r="26" ht="16.5" customHeight="1" s="55">
      <c r="A26" s="14" t="n"/>
      <c r="B26" s="15" t="inlineStr">
        <is>
          <t>TRANSPORTE</t>
        </is>
      </c>
      <c r="C26" s="60" t="n"/>
      <c r="D26" s="57" t="n"/>
      <c r="E26" s="57" t="n"/>
      <c r="F26" s="57" t="n"/>
      <c r="G26" s="57" t="n"/>
      <c r="H26" s="57" t="n"/>
      <c r="I26" s="57" t="n"/>
      <c r="J26" s="57" t="n"/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  <c r="Z26" s="57" t="n"/>
      <c r="AA26" s="58" t="n"/>
    </row>
    <row r="27" ht="16.5" customHeight="1" s="55">
      <c r="A27" s="17" t="n"/>
      <c r="B27" s="22" t="inlineStr">
        <is>
          <t>Ônibus / Metrô</t>
        </is>
      </c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20">
        <f>SUM(C27,E27,G27,I27,K27,M27,O27,Q27,S27,U27,W27,Y27)</f>
        <v/>
      </c>
    </row>
    <row r="28" ht="16.5" customHeight="1" s="55">
      <c r="A28" s="17" t="n"/>
      <c r="B28" s="22" t="inlineStr">
        <is>
          <t>Taxi</t>
        </is>
      </c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20">
        <f>SUM(C28,E28,G28,I28,K28,M28,O28,Q28,S28,U28,W28,Y28)</f>
        <v/>
      </c>
    </row>
    <row r="29" ht="16.5" customHeight="1" s="55">
      <c r="A29" s="17" t="n"/>
      <c r="B29" s="22" t="inlineStr">
        <is>
          <t>Combustível</t>
        </is>
      </c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20">
        <f>SUM(C29,E29,G29,I29,K29,M29,O29,Q29,S29,U29,W29,Y29)</f>
        <v/>
      </c>
    </row>
    <row r="30" ht="16.5" customHeight="1" s="55">
      <c r="A30" s="14" t="n"/>
      <c r="B30" s="15" t="inlineStr">
        <is>
          <t>PESSOAL</t>
        </is>
      </c>
      <c r="C30" s="60" t="n"/>
      <c r="D30" s="57" t="n"/>
      <c r="E30" s="57" t="n"/>
      <c r="F30" s="57" t="n"/>
      <c r="G30" s="57" t="n"/>
      <c r="H30" s="57" t="n"/>
      <c r="I30" s="57" t="n"/>
      <c r="J30" s="57" t="n"/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  <c r="AA30" s="58" t="n"/>
    </row>
    <row r="31" ht="16.5" customHeight="1" s="55">
      <c r="A31" s="17" t="n"/>
      <c r="B31" s="22" t="inlineStr">
        <is>
          <t>Vestuário / Calçados / Acessórios</t>
        </is>
      </c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20">
        <f>SUM(C31,E31,G31,I31,K31,M31,O31,Q31,S31,U31,W31,Y31)</f>
        <v/>
      </c>
    </row>
    <row r="32" ht="16.5" customHeight="1" s="55">
      <c r="A32" s="17" t="n"/>
      <c r="B32" s="22" t="inlineStr">
        <is>
          <t>Cabeleireiro / Manicure / Higiene Pessoal</t>
        </is>
      </c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20">
        <f>SUM(C32,E32,G32,I32,K32,M32,O32,Q32,S32,U32,W32,Y32)</f>
        <v/>
      </c>
    </row>
    <row r="33" ht="16.5" customHeight="1" s="55">
      <c r="A33" s="17" t="n"/>
      <c r="B33" s="22" t="inlineStr">
        <is>
          <t>Presentes</t>
        </is>
      </c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20">
        <f>SUM(C33,E33,G33,I33,K33,M33,O33,Q33,S33,U33,W33,Y33)</f>
        <v/>
      </c>
    </row>
    <row r="34" ht="16.5" customHeight="1" s="55">
      <c r="A34" s="14" t="n"/>
      <c r="B34" s="15" t="inlineStr">
        <is>
          <t>LAZER</t>
        </is>
      </c>
      <c r="C34" s="60" t="n"/>
      <c r="D34" s="57" t="n"/>
      <c r="E34" s="57" t="n"/>
      <c r="F34" s="57" t="n"/>
      <c r="G34" s="57" t="n"/>
      <c r="H34" s="57" t="n"/>
      <c r="I34" s="57" t="n"/>
      <c r="J34" s="57" t="n"/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  <c r="Z34" s="57" t="n"/>
      <c r="AA34" s="58" t="n"/>
    </row>
    <row r="35" ht="16.5" customHeight="1" s="55">
      <c r="A35" s="17" t="n"/>
      <c r="B35" s="22" t="inlineStr">
        <is>
          <t>Cinema / Teatro / Shows</t>
        </is>
      </c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20">
        <f>SUM(C35,E35,G35,I35,K35,M35,O35,Q35,S35,U35,W35,Y35)</f>
        <v/>
      </c>
    </row>
    <row r="36" ht="16.5" customHeight="1" s="55">
      <c r="A36" s="17" t="n"/>
      <c r="B36" s="22" t="inlineStr">
        <is>
          <t>Livros / Revistas</t>
        </is>
      </c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20">
        <f>SUM(C36,E36,G36,I36,K36,M36,O36,Q36,S36,U36,W36,Y36)</f>
        <v/>
      </c>
    </row>
    <row r="37" ht="16.5" customHeight="1" s="55">
      <c r="A37" s="17" t="n"/>
      <c r="B37" s="22" t="inlineStr">
        <is>
          <t>Viagens</t>
        </is>
      </c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20">
        <f>SUM(C37,E37,G37,I37,K37,M37,O37,Q37,S37,U37,W37,Y37)</f>
        <v/>
      </c>
    </row>
    <row r="38" ht="16.5" customHeight="1" s="55">
      <c r="A38" s="14" t="n"/>
      <c r="B38" s="15" t="inlineStr">
        <is>
          <t>SERVIÇOS FINANCEIROS</t>
        </is>
      </c>
      <c r="C38" s="60" t="n"/>
      <c r="D38" s="57" t="n"/>
      <c r="E38" s="57" t="n"/>
      <c r="F38" s="57" t="n"/>
      <c r="G38" s="57" t="n"/>
      <c r="H38" s="57" t="n"/>
      <c r="I38" s="57" t="n"/>
      <c r="J38" s="57" t="n"/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  <c r="Z38" s="57" t="n"/>
      <c r="AA38" s="58" t="n"/>
    </row>
    <row r="39" ht="16.5" customHeight="1" s="55">
      <c r="A39" s="17" t="n"/>
      <c r="B39" s="22" t="inlineStr">
        <is>
          <t>Seguros</t>
        </is>
      </c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20">
        <f>SUM(C39,E39,G39,I39,K39,M39,O39,Q39,S39,U39,W39,Y39)</f>
        <v/>
      </c>
    </row>
    <row r="40" ht="16.5" customHeight="1" s="55">
      <c r="A40" s="17" t="n"/>
      <c r="B40" s="22" t="inlineStr">
        <is>
          <t>Investimentos 1</t>
        </is>
      </c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20">
        <f>SUM(C40,E40,G40,I40,K40,M40,O40,Q40,S40,U40,W40,Y40)</f>
        <v/>
      </c>
    </row>
    <row r="41" ht="16.5" customHeight="1" s="55">
      <c r="A41" s="17" t="n"/>
      <c r="B41" s="22" t="inlineStr">
        <is>
          <t>Investimentos 1</t>
        </is>
      </c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20">
        <f>SUM(C41,E41,G41,I41,K41,M41,O41,Q41,S41,U41,W41,Y41)</f>
        <v/>
      </c>
    </row>
    <row r="42" ht="16.5" customHeight="1" s="55">
      <c r="A42" s="17" t="n"/>
      <c r="B42" s="22" t="inlineStr">
        <is>
          <t>Imposto de Renda</t>
        </is>
      </c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20" t="n"/>
    </row>
    <row r="43" ht="16.5" customHeight="1" s="55">
      <c r="A43" s="14" t="n"/>
      <c r="B43" s="15" t="inlineStr">
        <is>
          <t>DÍVIDAS</t>
        </is>
      </c>
      <c r="C43" s="60" t="n"/>
      <c r="D43" s="57" t="n"/>
      <c r="E43" s="57" t="n"/>
      <c r="F43" s="57" t="n"/>
      <c r="G43" s="57" t="n"/>
      <c r="H43" s="57" t="n"/>
      <c r="I43" s="57" t="n"/>
      <c r="J43" s="57" t="n"/>
      <c r="K43" s="57" t="n"/>
      <c r="L43" s="57" t="n"/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  <c r="Z43" s="57" t="n"/>
      <c r="AA43" s="58" t="n"/>
    </row>
    <row r="44" ht="16.5" customHeight="1" s="55">
      <c r="A44" s="24" t="n"/>
      <c r="B44" s="22" t="inlineStr">
        <is>
          <t>Dívida 1</t>
        </is>
      </c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6" t="n"/>
    </row>
    <row r="45" ht="16.5" customHeight="1" s="55">
      <c r="A45" s="24" t="n"/>
      <c r="B45" s="22" t="inlineStr">
        <is>
          <t>Dívida 2</t>
        </is>
      </c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6" t="n"/>
    </row>
    <row r="46" ht="16.5" customHeight="1" s="55">
      <c r="A46" s="24" t="n"/>
      <c r="B46" s="22" t="inlineStr">
        <is>
          <t>Dívida 3</t>
        </is>
      </c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6" t="n"/>
    </row>
    <row r="47" ht="16.5" customHeight="1" s="55">
      <c r="A47" s="27" t="n"/>
      <c r="B47" s="28" t="inlineStr">
        <is>
          <t>Total das Despesas</t>
        </is>
      </c>
      <c r="C47" s="29">
        <f>SUM(C4:C42)</f>
        <v/>
      </c>
      <c r="D47" s="29" t="n"/>
      <c r="E47" s="29">
        <f>SUM(E4:E42)</f>
        <v/>
      </c>
      <c r="F47" s="29" t="n"/>
      <c r="G47" s="29">
        <f>SUM(G4:G43)</f>
        <v/>
      </c>
      <c r="H47" s="29" t="n"/>
      <c r="I47" s="29">
        <f>SUM(I4:I43)</f>
        <v/>
      </c>
      <c r="J47" s="29" t="n"/>
      <c r="K47" s="29">
        <f>SUM(K4:K43)</f>
        <v/>
      </c>
      <c r="L47" s="29" t="n"/>
      <c r="M47" s="29">
        <f>SUM(M4:M43)</f>
        <v/>
      </c>
      <c r="N47" s="29" t="n"/>
      <c r="O47" s="29">
        <f>SUM(O4:O43)</f>
        <v/>
      </c>
      <c r="P47" s="29" t="n"/>
      <c r="Q47" s="29">
        <f>SUM(Q4:Q43)</f>
        <v/>
      </c>
      <c r="R47" s="29" t="n"/>
      <c r="S47" s="29">
        <f>SUM(S4:S43)</f>
        <v/>
      </c>
      <c r="T47" s="29" t="n"/>
      <c r="U47" s="29">
        <f>SUM(U4:U43)</f>
        <v/>
      </c>
      <c r="V47" s="29" t="n"/>
      <c r="W47" s="29">
        <f>SUM(W4:W43)</f>
        <v/>
      </c>
      <c r="X47" s="29" t="n"/>
      <c r="Y47" s="29">
        <f>SUM(Y4:Y43)</f>
        <v/>
      </c>
      <c r="Z47" s="29" t="n"/>
      <c r="AA47" s="30">
        <f>SUM(AA5,AA6,AA7,AA9,AA10,AA11,AA15,AA16,AA17,AA19,AA20,AA21,AA23,AA24,AA25,AA27,AA28,AA29,AA31,AA32,AA33,AA35,AA36,AA37,AA39,AA40,AA41,AA43,AA46)</f>
        <v/>
      </c>
    </row>
    <row r="48" ht="16.5" customHeight="1" s="55">
      <c r="A48" s="31" t="n"/>
      <c r="B48" s="32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  <c r="V48" s="33" t="n"/>
      <c r="W48" s="33" t="n"/>
      <c r="X48" s="33" t="n"/>
      <c r="Y48" s="33" t="n"/>
      <c r="Z48" s="33" t="n"/>
      <c r="AA48" s="34" t="n"/>
    </row>
    <row r="49" ht="16.5" customHeight="1" s="55">
      <c r="A49" s="35" t="n"/>
      <c r="B49" s="36" t="inlineStr">
        <is>
          <t>Renda Mensal</t>
        </is>
      </c>
      <c r="C49" s="38" t="n">
        <v>6000</v>
      </c>
      <c r="D49" s="38" t="n"/>
      <c r="E49" s="38" t="n">
        <v>6000</v>
      </c>
      <c r="F49" s="38" t="n"/>
      <c r="G49" s="38" t="n">
        <v>6000</v>
      </c>
      <c r="H49" s="38" t="n"/>
      <c r="I49" s="38" t="n">
        <v>6000</v>
      </c>
      <c r="J49" s="38" t="n"/>
      <c r="K49" s="38">
        <f>'Pessoa Jurídica'!G15</f>
        <v/>
      </c>
      <c r="L49" s="38" t="n"/>
      <c r="M49" s="38">
        <f>'Pessoa Jurídica'!H15</f>
        <v/>
      </c>
      <c r="N49" s="38" t="n"/>
      <c r="O49" s="38">
        <f>'Pessoa Jurídica'!I15</f>
        <v/>
      </c>
      <c r="P49" s="38" t="n"/>
      <c r="Q49" s="38">
        <f>'Pessoa Jurídica'!J15</f>
        <v/>
      </c>
      <c r="R49" s="38" t="n"/>
      <c r="S49" s="38">
        <f>'Pessoa Jurídica'!K15</f>
        <v/>
      </c>
      <c r="T49" s="38" t="n"/>
      <c r="U49" s="38">
        <f>'Pessoa Jurídica'!L15</f>
        <v/>
      </c>
      <c r="V49" s="38" t="n"/>
      <c r="W49" s="38">
        <f>'Pessoa Jurídica'!M15</f>
        <v/>
      </c>
      <c r="X49" s="38" t="n"/>
      <c r="Y49" s="38">
        <f>'Pessoa Jurídica'!N15</f>
        <v/>
      </c>
      <c r="Z49" s="39" t="n"/>
      <c r="AA49" s="40" t="n"/>
    </row>
    <row r="50" ht="16.5" customHeight="1" s="55">
      <c r="A50" s="31" t="n"/>
      <c r="B50" s="32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  <c r="V50" s="33" t="n"/>
      <c r="W50" s="33" t="n"/>
      <c r="X50" s="33" t="n"/>
      <c r="Y50" s="33" t="n"/>
      <c r="Z50" s="41" t="n"/>
      <c r="AA50" s="34" t="n"/>
    </row>
    <row r="51" ht="16.5" customHeight="1" s="55">
      <c r="A51" s="42" t="n"/>
      <c r="B51" s="43" t="inlineStr">
        <is>
          <t>Resultado Operacional (renda - despesas)</t>
        </is>
      </c>
      <c r="C51" s="44">
        <f>SUM(C49-C47)</f>
        <v/>
      </c>
      <c r="D51" s="44" t="n"/>
      <c r="E51" s="44">
        <f>SUM(E49-E47)</f>
        <v/>
      </c>
      <c r="F51" s="44" t="n"/>
      <c r="G51" s="44">
        <f>SUM(G49-G47)</f>
        <v/>
      </c>
      <c r="H51" s="44" t="n"/>
      <c r="I51" s="44">
        <f>SUM(I49-I47)</f>
        <v/>
      </c>
      <c r="J51" s="44" t="n"/>
      <c r="K51" s="44">
        <f>SUM(K49-K47)</f>
        <v/>
      </c>
      <c r="L51" s="44" t="n"/>
      <c r="M51" s="44">
        <f>SUM(M49-M47)</f>
        <v/>
      </c>
      <c r="N51" s="44" t="n"/>
      <c r="O51" s="44">
        <f>SUM(O49-O47)</f>
        <v/>
      </c>
      <c r="P51" s="44" t="n"/>
      <c r="Q51" s="44">
        <f>SUM(Q49-Q47)</f>
        <v/>
      </c>
      <c r="R51" s="44" t="n"/>
      <c r="S51" s="44">
        <f>SUM(S49-S47)</f>
        <v/>
      </c>
      <c r="T51" s="44" t="n"/>
      <c r="U51" s="44">
        <f>SUM(U49-U47)</f>
        <v/>
      </c>
      <c r="V51" s="44" t="n"/>
      <c r="W51" s="44">
        <f>SUM(W49-W47)</f>
        <v/>
      </c>
      <c r="X51" s="44" t="n"/>
      <c r="Y51" s="44">
        <f>SUM(Y49-Y47)</f>
        <v/>
      </c>
      <c r="Z51" s="44" t="n"/>
      <c r="AA51" s="45" t="n"/>
    </row>
    <row r="52" ht="16.5" customHeight="1" s="55">
      <c r="B52" s="46" t="n"/>
      <c r="C52" s="46" t="n"/>
      <c r="D52" s="46" t="n"/>
      <c r="E52" s="46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46" t="n"/>
      <c r="Q52" s="46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</row>
    <row r="53" ht="16.5" customHeight="1" s="55">
      <c r="A53" s="35" t="n"/>
      <c r="B53" s="47" t="inlineStr">
        <is>
          <t>Investimentos Mensais</t>
        </is>
      </c>
      <c r="C53" s="48">
        <f>SUM(C40:C41)</f>
        <v/>
      </c>
      <c r="D53" s="49" t="n"/>
      <c r="E53" s="48">
        <f>SUM(E40:E41)</f>
        <v/>
      </c>
      <c r="F53" s="49" t="n"/>
      <c r="G53" s="48">
        <f>SUM(G40:G41)</f>
        <v/>
      </c>
      <c r="H53" s="49" t="n"/>
      <c r="I53" s="48">
        <f>SUM(I40:I41)</f>
        <v/>
      </c>
      <c r="J53" s="49" t="n"/>
      <c r="K53" s="48">
        <f>SUM(K40:K41)</f>
        <v/>
      </c>
      <c r="L53" s="49" t="n"/>
      <c r="M53" s="48">
        <f>SUM(M40:M41)</f>
        <v/>
      </c>
      <c r="N53" s="49" t="n"/>
      <c r="O53" s="48">
        <f>SUM(O40:O41)</f>
        <v/>
      </c>
      <c r="P53" s="49" t="n"/>
      <c r="Q53" s="48">
        <f>SUM(Q40:Q41)</f>
        <v/>
      </c>
      <c r="R53" s="49" t="n"/>
      <c r="S53" s="48">
        <f>SUM(S40:S41)</f>
        <v/>
      </c>
      <c r="T53" s="49" t="n"/>
      <c r="U53" s="48">
        <f>SUM(U40:U41)</f>
        <v/>
      </c>
      <c r="V53" s="49" t="n"/>
      <c r="W53" s="48">
        <f>SUM(W40:W41)</f>
        <v/>
      </c>
      <c r="X53" s="49" t="n"/>
      <c r="Y53" s="48">
        <f>SUM(Y40:Y41)</f>
        <v/>
      </c>
      <c r="Z53" s="49" t="n"/>
      <c r="AA53" s="50">
        <f>SUM(C53:Z53)</f>
        <v/>
      </c>
    </row>
    <row r="54" ht="16.5" customHeight="1" s="55">
      <c r="B54" s="46" t="n"/>
      <c r="C54" s="46" t="n"/>
      <c r="D54" s="46" t="n"/>
      <c r="E54" s="46" t="n"/>
      <c r="F54" s="46" t="n"/>
      <c r="G54" s="46" t="n"/>
      <c r="H54" s="46" t="n"/>
      <c r="I54" s="46" t="n"/>
      <c r="J54" s="46" t="n"/>
      <c r="K54" s="46" t="n"/>
      <c r="L54" s="46" t="n"/>
      <c r="M54" s="46" t="n"/>
      <c r="N54" s="46" t="n"/>
      <c r="O54" s="46" t="n"/>
      <c r="P54" s="46" t="n"/>
      <c r="Q54" s="46" t="n"/>
      <c r="R54" s="46" t="n"/>
      <c r="S54" s="46" t="n"/>
      <c r="T54" s="46" t="n"/>
      <c r="U54" s="46" t="n"/>
      <c r="V54" s="46" t="n"/>
      <c r="W54" s="46" t="n"/>
      <c r="X54" s="46" t="n"/>
      <c r="Y54" s="46" t="n"/>
      <c r="Z54" s="46" t="n"/>
      <c r="AA54" s="46" t="n"/>
    </row>
    <row r="55" ht="16.5" customHeight="1" s="55">
      <c r="A55" s="51" t="n"/>
      <c r="B55" s="46" t="n"/>
      <c r="C55" s="52" t="n"/>
      <c r="D55" s="52" t="n"/>
      <c r="E55" s="52" t="n"/>
      <c r="F55" s="52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52" t="n"/>
      <c r="Z55" s="52" t="n"/>
      <c r="AA55" s="52" t="n"/>
    </row>
    <row r="56" ht="14.25" customHeight="1" s="55">
      <c r="B56" s="46" t="n"/>
      <c r="C56" s="46" t="n"/>
      <c r="D56" s="46" t="n"/>
      <c r="E56" s="46" t="n"/>
      <c r="F56" s="46" t="n"/>
      <c r="G56" s="46" t="n"/>
      <c r="H56" s="46" t="n"/>
      <c r="I56" s="46" t="n"/>
      <c r="J56" s="46" t="n"/>
      <c r="K56" s="46" t="n"/>
      <c r="L56" s="46" t="n"/>
      <c r="M56" s="46" t="n"/>
      <c r="N56" s="46" t="n"/>
      <c r="O56" s="46" t="n"/>
      <c r="P56" s="46" t="n"/>
      <c r="Q56" s="46" t="n"/>
      <c r="R56" s="46" t="n"/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6" t="n"/>
    </row>
    <row r="57" ht="14.25" customHeight="1" s="55">
      <c r="B57" s="46" t="n"/>
      <c r="C57" s="46" t="n"/>
      <c r="D57" s="46" t="n"/>
      <c r="E57" s="46" t="n"/>
      <c r="F57" s="46" t="n"/>
      <c r="G57" s="46" t="n"/>
      <c r="H57" s="46" t="n"/>
      <c r="I57" s="46" t="n"/>
      <c r="J57" s="46" t="n"/>
      <c r="K57" s="46" t="n"/>
      <c r="L57" s="46" t="n"/>
      <c r="M57" s="46" t="n"/>
      <c r="N57" s="46" t="n"/>
      <c r="O57" s="46" t="n"/>
      <c r="P57" s="46" t="n"/>
      <c r="Q57" s="46" t="n"/>
      <c r="R57" s="46" t="n"/>
      <c r="S57" s="46" t="n"/>
      <c r="T57" s="46" t="n"/>
      <c r="U57" s="46" t="n"/>
      <c r="V57" s="46" t="n"/>
      <c r="W57" s="46" t="n"/>
      <c r="X57" s="46" t="n"/>
      <c r="Y57" s="46" t="n"/>
      <c r="Z57" s="46" t="n"/>
      <c r="AA57" s="46" t="n"/>
    </row>
    <row r="58" ht="14.25" customHeight="1" s="55">
      <c r="B58" s="46" t="n"/>
      <c r="C58" s="46" t="n"/>
      <c r="D58" s="46" t="n"/>
      <c r="E58" s="46" t="n"/>
      <c r="F58" s="46" t="n"/>
      <c r="G58" s="46" t="n"/>
      <c r="H58" s="46" t="n"/>
      <c r="I58" s="46" t="n"/>
      <c r="J58" s="46" t="n"/>
      <c r="K58" s="46" t="n"/>
      <c r="L58" s="46" t="n"/>
      <c r="M58" s="46" t="n"/>
      <c r="N58" s="46" t="n"/>
      <c r="O58" s="46" t="n"/>
      <c r="P58" s="46" t="n"/>
      <c r="Q58" s="46" t="n"/>
      <c r="R58" s="46" t="n"/>
      <c r="S58" s="46" t="n"/>
      <c r="T58" s="46" t="n"/>
      <c r="U58" s="46" t="n"/>
      <c r="V58" s="46" t="n"/>
      <c r="W58" s="46" t="n"/>
      <c r="X58" s="46" t="n"/>
      <c r="Y58" s="46" t="n"/>
      <c r="Z58" s="46" t="n"/>
      <c r="AA58" s="46" t="n"/>
    </row>
    <row r="59" ht="14.25" customHeight="1" s="55">
      <c r="B59" s="53" t="n"/>
      <c r="C59" s="53" t="n"/>
      <c r="D59" s="53" t="n"/>
      <c r="E59" s="53" t="n"/>
      <c r="F59" s="53" t="n"/>
      <c r="G59" s="53" t="n"/>
      <c r="H59" s="53" t="n"/>
      <c r="I59" s="53" t="n"/>
      <c r="J59" s="53" t="n"/>
      <c r="K59" s="53" t="n"/>
      <c r="L59" s="53" t="n"/>
      <c r="M59" s="53" t="n"/>
      <c r="N59" s="53" t="n"/>
      <c r="O59" s="53" t="n"/>
      <c r="P59" s="53" t="n"/>
      <c r="Q59" s="53" t="n"/>
      <c r="R59" s="53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</row>
    <row r="60" ht="14.25" customHeight="1" s="55">
      <c r="B60" s="53" t="n"/>
      <c r="C60" s="53" t="n"/>
      <c r="D60" s="53" t="n"/>
      <c r="E60" s="53" t="n"/>
      <c r="F60" s="53" t="n"/>
      <c r="G60" s="53" t="n"/>
      <c r="H60" s="53" t="n"/>
      <c r="I60" s="53" t="n"/>
      <c r="J60" s="53" t="n"/>
      <c r="K60" s="53" t="n"/>
      <c r="L60" s="53" t="n"/>
      <c r="M60" s="53" t="n"/>
      <c r="N60" s="53" t="n"/>
      <c r="O60" s="53" t="n"/>
      <c r="P60" s="53" t="n"/>
      <c r="Q60" s="53" t="n"/>
      <c r="R60" s="53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</row>
    <row r="61" ht="14.25" customHeight="1" s="55">
      <c r="B61" s="54" t="n"/>
      <c r="C61" s="54" t="n"/>
      <c r="D61" s="54" t="n"/>
      <c r="E61" s="54" t="n"/>
      <c r="F61" s="54" t="n"/>
      <c r="G61" s="54" t="n"/>
      <c r="H61" s="54" t="n"/>
      <c r="I61" s="54" t="n"/>
      <c r="J61" s="54" t="n"/>
      <c r="K61" s="54" t="n"/>
      <c r="L61" s="54" t="n"/>
      <c r="M61" s="54" t="n"/>
      <c r="N61" s="54" t="n"/>
      <c r="O61" s="54" t="n"/>
      <c r="P61" s="54" t="n"/>
      <c r="Q61" s="54" t="n"/>
      <c r="R61" s="54" t="n"/>
      <c r="S61" s="54" t="n"/>
      <c r="T61" s="54" t="n"/>
      <c r="U61" s="54" t="n"/>
      <c r="V61" s="54" t="n"/>
      <c r="W61" s="54" t="n"/>
      <c r="X61" s="54" t="n"/>
      <c r="Y61" s="54" t="n"/>
      <c r="Z61" s="54" t="n"/>
      <c r="AA61" s="54" t="n"/>
    </row>
    <row r="62" ht="14.25" customHeight="1" s="55"/>
    <row r="63" ht="14.25" customHeight="1" s="55"/>
    <row r="64" ht="14.25" customHeight="1" s="55"/>
    <row r="65" ht="14.25" customHeight="1" s="55"/>
    <row r="66" ht="14.25" customHeight="1" s="55"/>
    <row r="67" ht="14.25" customHeight="1" s="55"/>
    <row r="68" ht="14.25" customHeight="1" s="55"/>
    <row r="69" ht="14.25" customHeight="1" s="55"/>
    <row r="70" ht="14.25" customHeight="1" s="55"/>
    <row r="71" ht="14.25" customHeight="1" s="55"/>
    <row r="72" ht="14.25" customHeight="1" s="55"/>
    <row r="73" ht="14.25" customHeight="1" s="55"/>
    <row r="74" ht="14.25" customHeight="1" s="55"/>
    <row r="75" ht="14.25" customHeight="1" s="55"/>
    <row r="76" ht="14.25" customHeight="1" s="55"/>
    <row r="77" ht="14.25" customHeight="1" s="55"/>
    <row r="78" ht="14.25" customHeight="1" s="55"/>
    <row r="79" ht="14.25" customHeight="1" s="55"/>
    <row r="80" ht="14.25" customHeight="1" s="55"/>
    <row r="81" ht="14.25" customHeight="1" s="55"/>
    <row r="82" ht="14.25" customHeight="1" s="55"/>
    <row r="83" ht="14.25" customHeight="1" s="55"/>
    <row r="84" ht="14.25" customHeight="1" s="55"/>
    <row r="85" ht="14.25" customHeight="1" s="55"/>
    <row r="86" ht="14.25" customHeight="1" s="55"/>
    <row r="87" ht="14.25" customHeight="1" s="55"/>
    <row r="88" ht="14.25" customHeight="1" s="55"/>
    <row r="89" ht="14.25" customHeight="1" s="55"/>
    <row r="90" ht="14.25" customHeight="1" s="55"/>
    <row r="91" ht="14.25" customHeight="1" s="55"/>
    <row r="92" ht="14.25" customHeight="1" s="55"/>
    <row r="93" ht="14.25" customHeight="1" s="55"/>
    <row r="94" ht="14.25" customHeight="1" s="55"/>
    <row r="95" ht="14.25" customHeight="1" s="55"/>
    <row r="96" ht="14.25" customHeight="1" s="55"/>
    <row r="97" ht="14.25" customHeight="1" s="55"/>
    <row r="98" ht="14.25" customHeight="1" s="55"/>
    <row r="99" ht="14.25" customHeight="1" s="55"/>
    <row r="100" ht="14.25" customHeight="1" s="55"/>
    <row r="101" ht="14.25" customHeight="1" s="55"/>
    <row r="102" ht="14.25" customHeight="1" s="55"/>
    <row r="103" ht="14.25" customHeight="1" s="55"/>
    <row r="104" ht="14.25" customHeight="1" s="55"/>
    <row r="105" ht="14.25" customHeight="1" s="55"/>
    <row r="106" ht="14.25" customHeight="1" s="55"/>
    <row r="107" ht="14.25" customHeight="1" s="55"/>
    <row r="108" ht="14.25" customHeight="1" s="55"/>
    <row r="109" ht="14.25" customHeight="1" s="55"/>
    <row r="110" ht="14.25" customHeight="1" s="55"/>
    <row r="111" ht="14.25" customHeight="1" s="55"/>
    <row r="112" ht="14.25" customHeight="1" s="55"/>
    <row r="113" ht="14.25" customHeight="1" s="55"/>
    <row r="114" ht="14.25" customHeight="1" s="55"/>
    <row r="115" ht="14.25" customHeight="1" s="55"/>
    <row r="116" ht="14.25" customHeight="1" s="55"/>
    <row r="117" ht="14.25" customHeight="1" s="55"/>
    <row r="118" ht="14.25" customHeight="1" s="55"/>
    <row r="119" ht="14.25" customHeight="1" s="55"/>
    <row r="120" ht="14.25" customHeight="1" s="55"/>
    <row r="121" ht="14.25" customHeight="1" s="55"/>
    <row r="122" ht="14.25" customHeight="1" s="55"/>
    <row r="123" ht="14.25" customHeight="1" s="55"/>
    <row r="124" ht="14.25" customHeight="1" s="55"/>
    <row r="125" ht="14.25" customHeight="1" s="55"/>
    <row r="126" ht="14.25" customHeight="1" s="55"/>
    <row r="127" ht="14.25" customHeight="1" s="55"/>
    <row r="128" ht="14.25" customHeight="1" s="55"/>
    <row r="129" ht="14.25" customHeight="1" s="55"/>
    <row r="130" ht="14.25" customHeight="1" s="55"/>
    <row r="131" ht="14.25" customHeight="1" s="55"/>
    <row r="132" ht="14.25" customHeight="1" s="55"/>
    <row r="133" ht="14.25" customHeight="1" s="55"/>
    <row r="134" ht="14.25" customHeight="1" s="55"/>
    <row r="135" ht="14.25" customHeight="1" s="55"/>
    <row r="136" ht="14.25" customHeight="1" s="55"/>
    <row r="137" ht="14.25" customHeight="1" s="55"/>
    <row r="138" ht="14.25" customHeight="1" s="55"/>
    <row r="139" ht="14.25" customHeight="1" s="55"/>
    <row r="140" ht="14.25" customHeight="1" s="55"/>
    <row r="141" ht="14.25" customHeight="1" s="55"/>
    <row r="142" ht="14.25" customHeight="1" s="55"/>
    <row r="143" ht="14.25" customHeight="1" s="55"/>
    <row r="144" ht="14.25" customHeight="1" s="55"/>
    <row r="145" ht="14.25" customHeight="1" s="55"/>
    <row r="146" ht="14.25" customHeight="1" s="55"/>
    <row r="147" ht="14.25" customHeight="1" s="55"/>
    <row r="148" ht="14.25" customHeight="1" s="55"/>
    <row r="149" ht="14.25" customHeight="1" s="55"/>
    <row r="150" ht="14.25" customHeight="1" s="55"/>
    <row r="151" ht="14.25" customHeight="1" s="55"/>
    <row r="152" ht="14.25" customHeight="1" s="55"/>
    <row r="153" ht="14.25" customHeight="1" s="55"/>
    <row r="154" ht="14.25" customHeight="1" s="55"/>
    <row r="155" ht="14.25" customHeight="1" s="55"/>
    <row r="156" ht="14.25" customHeight="1" s="55"/>
    <row r="157" ht="14.25" customHeight="1" s="55"/>
    <row r="158" ht="14.25" customHeight="1" s="55"/>
    <row r="159" ht="14.25" customHeight="1" s="55"/>
    <row r="160" ht="14.25" customHeight="1" s="55"/>
    <row r="161" ht="14.25" customHeight="1" s="55"/>
    <row r="162" ht="14.25" customHeight="1" s="55"/>
    <row r="163" ht="14.25" customHeight="1" s="55"/>
    <row r="164" ht="14.25" customHeight="1" s="55"/>
    <row r="165" ht="14.25" customHeight="1" s="55"/>
    <row r="166" ht="14.25" customHeight="1" s="55"/>
    <row r="167" ht="14.25" customHeight="1" s="55"/>
    <row r="168" ht="14.25" customHeight="1" s="55"/>
    <row r="169" ht="14.25" customHeight="1" s="55"/>
    <row r="170" ht="14.25" customHeight="1" s="55"/>
    <row r="171" ht="14.25" customHeight="1" s="55"/>
    <row r="172" ht="14.25" customHeight="1" s="55"/>
    <row r="173" ht="14.25" customHeight="1" s="55"/>
    <row r="174" ht="14.25" customHeight="1" s="55"/>
    <row r="175" ht="14.25" customHeight="1" s="55"/>
    <row r="176" ht="14.25" customHeight="1" s="55"/>
    <row r="177" ht="14.25" customHeight="1" s="55"/>
    <row r="178" ht="14.25" customHeight="1" s="55"/>
    <row r="179" ht="14.25" customHeight="1" s="55"/>
    <row r="180" ht="14.25" customHeight="1" s="55"/>
    <row r="181" ht="14.25" customHeight="1" s="55"/>
    <row r="182" ht="14.25" customHeight="1" s="55"/>
    <row r="183" ht="14.25" customHeight="1" s="55"/>
    <row r="184" ht="14.25" customHeight="1" s="55"/>
    <row r="185" ht="14.25" customHeight="1" s="55"/>
    <row r="186" ht="14.25" customHeight="1" s="55"/>
    <row r="187" ht="14.25" customHeight="1" s="55"/>
    <row r="188" ht="14.25" customHeight="1" s="55"/>
    <row r="189" ht="14.25" customHeight="1" s="55"/>
    <row r="190" ht="14.25" customHeight="1" s="55"/>
    <row r="191" ht="14.25" customHeight="1" s="55"/>
    <row r="192" ht="14.25" customHeight="1" s="55"/>
    <row r="193" ht="14.25" customHeight="1" s="55"/>
    <row r="194" ht="14.25" customHeight="1" s="55"/>
    <row r="195" ht="14.25" customHeight="1" s="55"/>
    <row r="196" ht="14.25" customHeight="1" s="55"/>
    <row r="197" ht="14.25" customHeight="1" s="55"/>
    <row r="198" ht="14.25" customHeight="1" s="55"/>
    <row r="199" ht="14.25" customHeight="1" s="55"/>
    <row r="200" ht="14.25" customHeight="1" s="55"/>
    <row r="201" ht="14.25" customHeight="1" s="55"/>
    <row r="202" ht="14.25" customHeight="1" s="55"/>
    <row r="203" ht="14.25" customHeight="1" s="55"/>
    <row r="204" ht="14.25" customHeight="1" s="55"/>
    <row r="205" ht="14.25" customHeight="1" s="55"/>
    <row r="206" ht="14.25" customHeight="1" s="55"/>
    <row r="207" ht="14.25" customHeight="1" s="55"/>
    <row r="208" ht="14.25" customHeight="1" s="55"/>
    <row r="209" ht="14.25" customHeight="1" s="55"/>
    <row r="210" ht="14.25" customHeight="1" s="55"/>
    <row r="211" ht="14.25" customHeight="1" s="55"/>
    <row r="212" ht="14.25" customHeight="1" s="55"/>
    <row r="213" ht="14.25" customHeight="1" s="55"/>
    <row r="214" ht="14.25" customHeight="1" s="55"/>
    <row r="215" ht="14.25" customHeight="1" s="55"/>
    <row r="216" ht="14.25" customHeight="1" s="55"/>
    <row r="217" ht="14.25" customHeight="1" s="55"/>
    <row r="218" ht="14.25" customHeight="1" s="55"/>
    <row r="219" ht="14.25" customHeight="1" s="55"/>
    <row r="220" ht="14.25" customHeight="1" s="55"/>
    <row r="221" ht="14.25" customHeight="1" s="55"/>
    <row r="222" ht="14.25" customHeight="1" s="55"/>
    <row r="223" ht="14.25" customHeight="1" s="55"/>
    <row r="224" ht="14.25" customHeight="1" s="55"/>
    <row r="225" ht="14.25" customHeight="1" s="55"/>
    <row r="226" ht="14.25" customHeight="1" s="55"/>
    <row r="227" ht="14.25" customHeight="1" s="55"/>
    <row r="228" ht="14.25" customHeight="1" s="55"/>
    <row r="229" ht="14.25" customHeight="1" s="55"/>
    <row r="230" ht="14.25" customHeight="1" s="55"/>
    <row r="231" ht="14.25" customHeight="1" s="55"/>
    <row r="232" ht="14.25" customHeight="1" s="55"/>
    <row r="233" ht="14.25" customHeight="1" s="55"/>
    <row r="234" ht="14.25" customHeight="1" s="55"/>
    <row r="235" ht="14.25" customHeight="1" s="55"/>
    <row r="236" ht="14.25" customHeight="1" s="55"/>
    <row r="237" ht="14.25" customHeight="1" s="55"/>
    <row r="238" ht="14.25" customHeight="1" s="55"/>
    <row r="239" ht="14.25" customHeight="1" s="55"/>
    <row r="240" ht="14.25" customHeight="1" s="55"/>
    <row r="241" ht="14.25" customHeight="1" s="55"/>
    <row r="242" ht="14.25" customHeight="1" s="55"/>
    <row r="243" ht="14.25" customHeight="1" s="55"/>
    <row r="244" ht="14.25" customHeight="1" s="55"/>
    <row r="245" ht="14.25" customHeight="1" s="55"/>
    <row r="246" ht="14.25" customHeight="1" s="55"/>
    <row r="247" ht="14.25" customHeight="1" s="55"/>
    <row r="248" ht="14.25" customHeight="1" s="55"/>
    <row r="249" ht="14.25" customHeight="1" s="55"/>
    <row r="250" ht="14.25" customHeight="1" s="55"/>
    <row r="251" ht="14.25" customHeight="1" s="55"/>
    <row r="252" ht="14.25" customHeight="1" s="55"/>
    <row r="253" ht="14.25" customHeight="1" s="55"/>
    <row r="254" ht="14.25" customHeight="1" s="55"/>
    <row r="255" ht="14.25" customHeight="1" s="55"/>
    <row r="256" ht="15.75" customHeight="1" s="55"/>
    <row r="257" ht="15.75" customHeight="1" s="55"/>
    <row r="258" ht="15.75" customHeight="1" s="55"/>
    <row r="259" ht="15.75" customHeight="1" s="55"/>
    <row r="260" ht="15.75" customHeight="1" s="55"/>
    <row r="261" ht="15.75" customHeight="1" s="55"/>
    <row r="262" ht="15.75" customHeight="1" s="55"/>
    <row r="263" ht="15.75" customHeight="1" s="55"/>
    <row r="264" ht="15.75" customHeight="1" s="55"/>
    <row r="265" ht="15.75" customHeight="1" s="55"/>
    <row r="266" ht="15.75" customHeight="1" s="55"/>
    <row r="267" ht="15.75" customHeight="1" s="55"/>
    <row r="268" ht="15.75" customHeight="1" s="55"/>
    <row r="269" ht="15.75" customHeight="1" s="55"/>
    <row r="270" ht="15.75" customHeight="1" s="55"/>
    <row r="271" ht="15.75" customHeight="1" s="55"/>
    <row r="272" ht="15.75" customHeight="1" s="55"/>
    <row r="273" ht="15.75" customHeight="1" s="55"/>
    <row r="274" ht="15.75" customHeight="1" s="55"/>
    <row r="275" ht="15.75" customHeight="1" s="55"/>
    <row r="276" ht="15.75" customHeight="1" s="55"/>
    <row r="277" ht="15.75" customHeight="1" s="55"/>
    <row r="278" ht="15.75" customHeight="1" s="55"/>
    <row r="279" ht="15.75" customHeight="1" s="55"/>
    <row r="280" ht="15.75" customHeight="1" s="55"/>
    <row r="281" ht="15.75" customHeight="1" s="55"/>
    <row r="282" ht="15.75" customHeight="1" s="55"/>
    <row r="283" ht="15.75" customHeight="1" s="55"/>
    <row r="284" ht="15.75" customHeight="1" s="55"/>
    <row r="285" ht="15.75" customHeight="1" s="55"/>
    <row r="286" ht="15.75" customHeight="1" s="55"/>
    <row r="287" ht="15.75" customHeight="1" s="55"/>
    <row r="288" ht="15.75" customHeight="1" s="55"/>
    <row r="289" ht="15.75" customHeight="1" s="55"/>
    <row r="290" ht="15.75" customHeight="1" s="55"/>
    <row r="291" ht="15.75" customHeight="1" s="55"/>
    <row r="292" ht="15.75" customHeight="1" s="55"/>
    <row r="293" ht="15.75" customHeight="1" s="55"/>
    <row r="294" ht="15.75" customHeight="1" s="55"/>
    <row r="295" ht="15.75" customHeight="1" s="55"/>
    <row r="296" ht="15.75" customHeight="1" s="55"/>
    <row r="297" ht="15.75" customHeight="1" s="55"/>
    <row r="298" ht="15.75" customHeight="1" s="55"/>
    <row r="299" ht="15.75" customHeight="1" s="55"/>
    <row r="300" ht="15.75" customHeight="1" s="55"/>
    <row r="301" ht="15.75" customHeight="1" s="55"/>
    <row r="302" ht="15.75" customHeight="1" s="55"/>
    <row r="303" ht="15.75" customHeight="1" s="55"/>
    <row r="304" ht="15.75" customHeight="1" s="55"/>
    <row r="305" ht="15.75" customHeight="1" s="55"/>
    <row r="306" ht="15.75" customHeight="1" s="55"/>
    <row r="307" ht="15.75" customHeight="1" s="55"/>
    <row r="308" ht="15.75" customHeight="1" s="55"/>
    <row r="309" ht="15.75" customHeight="1" s="55"/>
    <row r="310" ht="15.75" customHeight="1" s="55"/>
    <row r="311" ht="15.75" customHeight="1" s="55"/>
    <row r="312" ht="15.75" customHeight="1" s="55"/>
    <row r="313" ht="15.75" customHeight="1" s="55"/>
    <row r="314" ht="15.75" customHeight="1" s="55"/>
    <row r="315" ht="15.75" customHeight="1" s="55"/>
    <row r="316" ht="15.75" customHeight="1" s="55"/>
    <row r="317" ht="15.75" customHeight="1" s="55"/>
    <row r="318" ht="15.75" customHeight="1" s="55"/>
    <row r="319" ht="15.75" customHeight="1" s="55"/>
    <row r="320" ht="15.75" customHeight="1" s="55"/>
    <row r="321" ht="15.75" customHeight="1" s="55"/>
    <row r="322" ht="15.75" customHeight="1" s="55"/>
    <row r="323" ht="15.75" customHeight="1" s="55"/>
    <row r="324" ht="15.75" customHeight="1" s="55"/>
    <row r="325" ht="15.75" customHeight="1" s="55"/>
    <row r="326" ht="15.75" customHeight="1" s="55"/>
    <row r="327" ht="15.75" customHeight="1" s="55"/>
    <row r="328" ht="15.75" customHeight="1" s="55"/>
    <row r="329" ht="15.75" customHeight="1" s="55"/>
    <row r="330" ht="15.75" customHeight="1" s="55"/>
    <row r="331" ht="15.75" customHeight="1" s="55"/>
    <row r="332" ht="15.75" customHeight="1" s="55"/>
    <row r="333" ht="15.75" customHeight="1" s="55"/>
    <row r="334" ht="15.75" customHeight="1" s="55"/>
    <row r="335" ht="15.75" customHeight="1" s="55"/>
    <row r="336" ht="15.75" customHeight="1" s="55"/>
    <row r="337" ht="15.75" customHeight="1" s="55"/>
    <row r="338" ht="15.75" customHeight="1" s="55"/>
    <row r="339" ht="15.75" customHeight="1" s="55"/>
    <row r="340" ht="15.75" customHeight="1" s="55"/>
    <row r="341" ht="15.75" customHeight="1" s="55"/>
    <row r="342" ht="15.75" customHeight="1" s="55"/>
    <row r="343" ht="15.75" customHeight="1" s="55"/>
    <row r="344" ht="15.75" customHeight="1" s="55"/>
    <row r="345" ht="15.75" customHeight="1" s="55"/>
    <row r="346" ht="15.75" customHeight="1" s="55"/>
    <row r="347" ht="15.75" customHeight="1" s="55"/>
    <row r="348" ht="15.75" customHeight="1" s="55"/>
    <row r="349" ht="15.75" customHeight="1" s="55"/>
    <row r="350" ht="15.75" customHeight="1" s="55"/>
    <row r="351" ht="15.75" customHeight="1" s="55"/>
    <row r="352" ht="15.75" customHeight="1" s="55"/>
    <row r="353" ht="15.75" customHeight="1" s="55"/>
    <row r="354" ht="15.75" customHeight="1" s="55"/>
    <row r="355" ht="15.75" customHeight="1" s="55"/>
    <row r="356" ht="15.75" customHeight="1" s="55"/>
    <row r="357" ht="15.75" customHeight="1" s="55"/>
    <row r="358" ht="15.75" customHeight="1" s="55"/>
    <row r="359" ht="15.75" customHeight="1" s="55"/>
    <row r="360" ht="15.75" customHeight="1" s="55"/>
    <row r="361" ht="15.75" customHeight="1" s="55"/>
    <row r="362" ht="15.75" customHeight="1" s="55"/>
    <row r="363" ht="15.75" customHeight="1" s="55"/>
    <row r="364" ht="15.75" customHeight="1" s="55"/>
    <row r="365" ht="15.75" customHeight="1" s="55"/>
    <row r="366" ht="15.75" customHeight="1" s="55"/>
    <row r="367" ht="15.75" customHeight="1" s="55"/>
    <row r="368" ht="15.75" customHeight="1" s="55"/>
    <row r="369" ht="15.75" customHeight="1" s="55"/>
    <row r="370" ht="15.75" customHeight="1" s="55"/>
    <row r="371" ht="15.75" customHeight="1" s="55"/>
    <row r="372" ht="15.75" customHeight="1" s="55"/>
    <row r="373" ht="15.75" customHeight="1" s="55"/>
    <row r="374" ht="15.75" customHeight="1" s="55"/>
    <row r="375" ht="15.75" customHeight="1" s="55"/>
    <row r="376" ht="15.75" customHeight="1" s="55"/>
    <row r="377" ht="15.75" customHeight="1" s="55"/>
    <row r="378" ht="15.75" customHeight="1" s="55"/>
    <row r="379" ht="15.75" customHeight="1" s="55"/>
    <row r="380" ht="15.75" customHeight="1" s="55"/>
    <row r="381" ht="15.75" customHeight="1" s="55"/>
    <row r="382" ht="15.75" customHeight="1" s="55"/>
    <row r="383" ht="15.75" customHeight="1" s="55"/>
    <row r="384" ht="15.75" customHeight="1" s="55"/>
    <row r="385" ht="15.75" customHeight="1" s="55"/>
    <row r="386" ht="15.75" customHeight="1" s="55"/>
    <row r="387" ht="15.75" customHeight="1" s="55"/>
    <row r="388" ht="15.75" customHeight="1" s="55"/>
    <row r="389" ht="15.75" customHeight="1" s="55"/>
    <row r="390" ht="15.75" customHeight="1" s="55"/>
    <row r="391" ht="15.75" customHeight="1" s="55"/>
    <row r="392" ht="15.75" customHeight="1" s="55"/>
    <row r="393" ht="15.75" customHeight="1" s="55"/>
    <row r="394" ht="15.75" customHeight="1" s="55"/>
    <row r="395" ht="15.75" customHeight="1" s="55"/>
    <row r="396" ht="15.75" customHeight="1" s="55"/>
    <row r="397" ht="15.75" customHeight="1" s="55"/>
    <row r="398" ht="15.75" customHeight="1" s="55"/>
    <row r="399" ht="15.75" customHeight="1" s="55"/>
    <row r="400" ht="15.75" customHeight="1" s="55"/>
    <row r="401" ht="15.75" customHeight="1" s="55"/>
    <row r="402" ht="15.75" customHeight="1" s="55"/>
    <row r="403" ht="15.75" customHeight="1" s="55"/>
    <row r="404" ht="15.75" customHeight="1" s="55"/>
    <row r="405" ht="15.75" customHeight="1" s="55"/>
    <row r="406" ht="15.75" customHeight="1" s="55"/>
    <row r="407" ht="15.75" customHeight="1" s="55"/>
    <row r="408" ht="15.75" customHeight="1" s="55"/>
    <row r="409" ht="15.75" customHeight="1" s="55"/>
    <row r="410" ht="15.75" customHeight="1" s="55"/>
    <row r="411" ht="15.75" customHeight="1" s="55"/>
    <row r="412" ht="15.75" customHeight="1" s="55"/>
    <row r="413" ht="15.75" customHeight="1" s="55"/>
    <row r="414" ht="15.75" customHeight="1" s="55"/>
    <row r="415" ht="15.75" customHeight="1" s="55"/>
    <row r="416" ht="15.75" customHeight="1" s="55"/>
    <row r="417" ht="15.75" customHeight="1" s="55"/>
    <row r="418" ht="15.75" customHeight="1" s="55"/>
    <row r="419" ht="15.75" customHeight="1" s="55"/>
    <row r="420" ht="15.75" customHeight="1" s="55"/>
    <row r="421" ht="15.75" customHeight="1" s="55"/>
    <row r="422" ht="15.75" customHeight="1" s="55"/>
    <row r="423" ht="15.75" customHeight="1" s="55"/>
    <row r="424" ht="15.75" customHeight="1" s="55"/>
    <row r="425" ht="15.75" customHeight="1" s="55"/>
    <row r="426" ht="15.75" customHeight="1" s="55"/>
    <row r="427" ht="15.75" customHeight="1" s="55"/>
    <row r="428" ht="15.75" customHeight="1" s="55"/>
    <row r="429" ht="15.75" customHeight="1" s="55"/>
    <row r="430" ht="15.75" customHeight="1" s="55"/>
    <row r="431" ht="15.75" customHeight="1" s="55"/>
    <row r="432" ht="15.75" customHeight="1" s="55"/>
    <row r="433" ht="15.75" customHeight="1" s="55"/>
    <row r="434" ht="15.75" customHeight="1" s="55"/>
    <row r="435" ht="15.75" customHeight="1" s="55"/>
    <row r="436" ht="15.75" customHeight="1" s="55"/>
    <row r="437" ht="15.75" customHeight="1" s="55"/>
    <row r="438" ht="15.75" customHeight="1" s="55"/>
    <row r="439" ht="15.75" customHeight="1" s="55"/>
    <row r="440" ht="15.75" customHeight="1" s="55"/>
    <row r="441" ht="15.75" customHeight="1" s="55"/>
    <row r="442" ht="15.75" customHeight="1" s="55"/>
    <row r="443" ht="15.75" customHeight="1" s="55"/>
    <row r="444" ht="15.75" customHeight="1" s="55"/>
    <row r="445" ht="15.75" customHeight="1" s="55"/>
    <row r="446" ht="15.75" customHeight="1" s="55"/>
    <row r="447" ht="15.75" customHeight="1" s="55"/>
    <row r="448" ht="15.75" customHeight="1" s="55"/>
    <row r="449" ht="15.75" customHeight="1" s="55"/>
    <row r="450" ht="15.75" customHeight="1" s="55"/>
    <row r="451" ht="15.75" customHeight="1" s="55"/>
    <row r="452" ht="15.75" customHeight="1" s="55"/>
    <row r="453" ht="15.75" customHeight="1" s="55"/>
    <row r="454" ht="15.75" customHeight="1" s="55"/>
    <row r="455" ht="15.75" customHeight="1" s="55"/>
    <row r="456" ht="15.75" customHeight="1" s="55"/>
    <row r="457" ht="15.75" customHeight="1" s="55"/>
    <row r="458" ht="15.75" customHeight="1" s="55"/>
    <row r="459" ht="15.75" customHeight="1" s="55"/>
    <row r="460" ht="15.75" customHeight="1" s="55"/>
    <row r="461" ht="15.75" customHeight="1" s="55"/>
    <row r="462" ht="15.75" customHeight="1" s="55"/>
    <row r="463" ht="15.75" customHeight="1" s="55"/>
    <row r="464" ht="15.75" customHeight="1" s="55"/>
    <row r="465" ht="15.75" customHeight="1" s="55"/>
    <row r="466" ht="15.75" customHeight="1" s="55"/>
    <row r="467" ht="15.75" customHeight="1" s="55"/>
    <row r="468" ht="15.75" customHeight="1" s="55"/>
    <row r="469" ht="15.75" customHeight="1" s="55"/>
    <row r="470" ht="15.75" customHeight="1" s="55"/>
    <row r="471" ht="15.75" customHeight="1" s="55"/>
    <row r="472" ht="15.75" customHeight="1" s="55"/>
    <row r="473" ht="15.75" customHeight="1" s="55"/>
    <row r="474" ht="15.75" customHeight="1" s="55"/>
    <row r="475" ht="15.75" customHeight="1" s="55"/>
    <row r="476" ht="15.75" customHeight="1" s="55"/>
    <row r="477" ht="15.75" customHeight="1" s="55"/>
    <row r="478" ht="15.75" customHeight="1" s="55"/>
    <row r="479" ht="15.75" customHeight="1" s="55"/>
    <row r="480" ht="15.75" customHeight="1" s="55"/>
    <row r="481" ht="15.75" customHeight="1" s="55"/>
    <row r="482" ht="15.75" customHeight="1" s="55"/>
    <row r="483" ht="15.75" customHeight="1" s="55"/>
    <row r="484" ht="15.75" customHeight="1" s="55"/>
    <row r="485" ht="15.75" customHeight="1" s="55"/>
    <row r="486" ht="15.75" customHeight="1" s="55"/>
    <row r="487" ht="15.75" customHeight="1" s="55"/>
    <row r="488" ht="15.75" customHeight="1" s="55"/>
    <row r="489" ht="15.75" customHeight="1" s="55"/>
    <row r="490" ht="15.75" customHeight="1" s="55"/>
    <row r="491" ht="15.75" customHeight="1" s="55"/>
    <row r="492" ht="15.75" customHeight="1" s="55"/>
    <row r="493" ht="15.75" customHeight="1" s="55"/>
    <row r="494" ht="15.75" customHeight="1" s="55"/>
    <row r="495" ht="15.75" customHeight="1" s="55"/>
    <row r="496" ht="15.75" customHeight="1" s="55"/>
    <row r="497" ht="15.75" customHeight="1" s="55"/>
    <row r="498" ht="15.75" customHeight="1" s="55"/>
    <row r="499" ht="15.75" customHeight="1" s="55"/>
    <row r="500" ht="15.75" customHeight="1" s="55"/>
    <row r="501" ht="15.75" customHeight="1" s="55"/>
    <row r="502" ht="15.75" customHeight="1" s="55"/>
    <row r="503" ht="15.75" customHeight="1" s="55"/>
    <row r="504" ht="15.75" customHeight="1" s="55"/>
    <row r="505" ht="15.75" customHeight="1" s="55"/>
    <row r="506" ht="15.75" customHeight="1" s="55"/>
    <row r="507" ht="15.75" customHeight="1" s="55"/>
    <row r="508" ht="15.75" customHeight="1" s="55"/>
    <row r="509" ht="15.75" customHeight="1" s="55"/>
    <row r="510" ht="15.75" customHeight="1" s="55"/>
    <row r="511" ht="15.75" customHeight="1" s="55"/>
    <row r="512" ht="15.75" customHeight="1" s="55"/>
    <row r="513" ht="15.75" customHeight="1" s="55"/>
    <row r="514" ht="15.75" customHeight="1" s="55"/>
    <row r="515" ht="15.75" customHeight="1" s="55"/>
    <row r="516" ht="15.75" customHeight="1" s="55"/>
    <row r="517" ht="15.75" customHeight="1" s="55"/>
    <row r="518" ht="15.75" customHeight="1" s="55"/>
    <row r="519" ht="15.75" customHeight="1" s="55"/>
    <row r="520" ht="15.75" customHeight="1" s="55"/>
    <row r="521" ht="15.75" customHeight="1" s="55"/>
    <row r="522" ht="15.75" customHeight="1" s="55"/>
    <row r="523" ht="15.75" customHeight="1" s="55"/>
    <row r="524" ht="15.75" customHeight="1" s="55"/>
    <row r="525" ht="15.75" customHeight="1" s="55"/>
    <row r="526" ht="15.75" customHeight="1" s="55"/>
    <row r="527" ht="15.75" customHeight="1" s="55"/>
    <row r="528" ht="15.75" customHeight="1" s="55"/>
    <row r="529" ht="15.75" customHeight="1" s="55"/>
    <row r="530" ht="15.75" customHeight="1" s="55"/>
    <row r="531" ht="15.75" customHeight="1" s="55"/>
    <row r="532" ht="15.75" customHeight="1" s="55"/>
    <row r="533" ht="15.75" customHeight="1" s="55"/>
    <row r="534" ht="15.75" customHeight="1" s="55"/>
    <row r="535" ht="15.75" customHeight="1" s="55"/>
    <row r="536" ht="15.75" customHeight="1" s="55"/>
    <row r="537" ht="15.75" customHeight="1" s="55"/>
    <row r="538" ht="15.75" customHeight="1" s="55"/>
    <row r="539" ht="15.75" customHeight="1" s="55"/>
    <row r="540" ht="15.75" customHeight="1" s="55"/>
    <row r="541" ht="15.75" customHeight="1" s="55"/>
    <row r="542" ht="15.75" customHeight="1" s="55"/>
    <row r="543" ht="15.75" customHeight="1" s="55"/>
    <row r="544" ht="15.75" customHeight="1" s="55"/>
    <row r="545" ht="15.75" customHeight="1" s="55"/>
    <row r="546" ht="15.75" customHeight="1" s="55"/>
    <row r="547" ht="15.75" customHeight="1" s="55"/>
    <row r="548" ht="15.75" customHeight="1" s="55"/>
    <row r="549" ht="15.75" customHeight="1" s="55"/>
    <row r="550" ht="15.75" customHeight="1" s="55"/>
    <row r="551" ht="15.75" customHeight="1" s="55"/>
    <row r="552" ht="15.75" customHeight="1" s="55"/>
    <row r="553" ht="15.75" customHeight="1" s="55"/>
    <row r="554" ht="15.75" customHeight="1" s="55"/>
    <row r="555" ht="15.75" customHeight="1" s="55"/>
    <row r="556" ht="15.75" customHeight="1" s="55"/>
    <row r="557" ht="15.75" customHeight="1" s="55"/>
    <row r="558" ht="15.75" customHeight="1" s="55"/>
    <row r="559" ht="15.75" customHeight="1" s="55"/>
    <row r="560" ht="15.75" customHeight="1" s="55"/>
    <row r="561" ht="15.75" customHeight="1" s="55"/>
    <row r="562" ht="15.75" customHeight="1" s="55"/>
    <row r="563" ht="15.75" customHeight="1" s="55"/>
    <row r="564" ht="15.75" customHeight="1" s="55"/>
    <row r="565" ht="15.75" customHeight="1" s="55"/>
    <row r="566" ht="15.75" customHeight="1" s="55"/>
    <row r="567" ht="15.75" customHeight="1" s="55"/>
    <row r="568" ht="15.75" customHeight="1" s="55"/>
    <row r="569" ht="15.75" customHeight="1" s="55"/>
    <row r="570" ht="15.75" customHeight="1" s="55"/>
    <row r="571" ht="15.75" customHeight="1" s="55"/>
    <row r="572" ht="15.75" customHeight="1" s="55"/>
    <row r="573" ht="15.75" customHeight="1" s="55"/>
    <row r="574" ht="15.75" customHeight="1" s="55"/>
    <row r="575" ht="15.75" customHeight="1" s="55"/>
    <row r="576" ht="15.75" customHeight="1" s="55"/>
    <row r="577" ht="15.75" customHeight="1" s="55"/>
    <row r="578" ht="15.75" customHeight="1" s="55"/>
    <row r="579" ht="15.75" customHeight="1" s="55"/>
    <row r="580" ht="15.75" customHeight="1" s="55"/>
    <row r="581" ht="15.75" customHeight="1" s="55"/>
    <row r="582" ht="15.75" customHeight="1" s="55"/>
    <row r="583" ht="15.75" customHeight="1" s="55"/>
    <row r="584" ht="15.75" customHeight="1" s="55"/>
    <row r="585" ht="15.75" customHeight="1" s="55"/>
    <row r="586" ht="15.75" customHeight="1" s="55"/>
    <row r="587" ht="15.75" customHeight="1" s="55"/>
    <row r="588" ht="15.75" customHeight="1" s="55"/>
    <row r="589" ht="15.75" customHeight="1" s="55"/>
    <row r="590" ht="15.75" customHeight="1" s="55"/>
    <row r="591" ht="15.75" customHeight="1" s="55"/>
    <row r="592" ht="15.75" customHeight="1" s="55"/>
    <row r="593" ht="15.75" customHeight="1" s="55"/>
    <row r="594" ht="15.75" customHeight="1" s="55"/>
    <row r="595" ht="15.75" customHeight="1" s="55"/>
    <row r="596" ht="15.75" customHeight="1" s="55"/>
    <row r="597" ht="15.75" customHeight="1" s="55"/>
    <row r="598" ht="15.75" customHeight="1" s="55"/>
    <row r="599" ht="15.75" customHeight="1" s="55"/>
    <row r="600" ht="15.75" customHeight="1" s="55"/>
    <row r="601" ht="15.75" customHeight="1" s="55"/>
    <row r="602" ht="15.75" customHeight="1" s="55"/>
    <row r="603" ht="15.75" customHeight="1" s="55"/>
    <row r="604" ht="15.75" customHeight="1" s="55"/>
    <row r="605" ht="15.75" customHeight="1" s="55"/>
    <row r="606" ht="15.75" customHeight="1" s="55"/>
    <row r="607" ht="15.75" customHeight="1" s="55"/>
    <row r="608" ht="15.75" customHeight="1" s="55"/>
    <row r="609" ht="15.75" customHeight="1" s="55"/>
    <row r="610" ht="15.75" customHeight="1" s="55"/>
    <row r="611" ht="15.75" customHeight="1" s="55"/>
    <row r="612" ht="15.75" customHeight="1" s="55"/>
    <row r="613" ht="15.75" customHeight="1" s="55"/>
    <row r="614" ht="15.75" customHeight="1" s="55"/>
    <row r="615" ht="15.75" customHeight="1" s="55"/>
    <row r="616" ht="15.75" customHeight="1" s="55"/>
    <row r="617" ht="15.75" customHeight="1" s="55"/>
    <row r="618" ht="15.75" customHeight="1" s="55"/>
    <row r="619" ht="15.75" customHeight="1" s="55"/>
    <row r="620" ht="15.75" customHeight="1" s="55"/>
    <row r="621" ht="15.75" customHeight="1" s="55"/>
    <row r="622" ht="15.75" customHeight="1" s="55"/>
    <row r="623" ht="15.75" customHeight="1" s="55"/>
    <row r="624" ht="15.75" customHeight="1" s="55"/>
    <row r="625" ht="15.75" customHeight="1" s="55"/>
    <row r="626" ht="15.75" customHeight="1" s="55"/>
    <row r="627" ht="15.75" customHeight="1" s="55"/>
    <row r="628" ht="15.75" customHeight="1" s="55"/>
    <row r="629" ht="15.75" customHeight="1" s="55"/>
    <row r="630" ht="15.75" customHeight="1" s="55"/>
    <row r="631" ht="15.75" customHeight="1" s="55"/>
    <row r="632" ht="15.75" customHeight="1" s="55"/>
    <row r="633" ht="15.75" customHeight="1" s="55"/>
    <row r="634" ht="15.75" customHeight="1" s="55"/>
    <row r="635" ht="15.75" customHeight="1" s="55"/>
    <row r="636" ht="15.75" customHeight="1" s="55"/>
    <row r="637" ht="15.75" customHeight="1" s="55"/>
    <row r="638" ht="15.75" customHeight="1" s="55"/>
    <row r="639" ht="15.75" customHeight="1" s="55"/>
    <row r="640" ht="15.75" customHeight="1" s="55"/>
    <row r="641" ht="15.75" customHeight="1" s="55"/>
    <row r="642" ht="15.75" customHeight="1" s="55"/>
    <row r="643" ht="15.75" customHeight="1" s="55"/>
    <row r="644" ht="15.75" customHeight="1" s="55"/>
    <row r="645" ht="15.75" customHeight="1" s="55"/>
    <row r="646" ht="15.75" customHeight="1" s="55"/>
    <row r="647" ht="15.75" customHeight="1" s="55"/>
    <row r="648" ht="15.75" customHeight="1" s="55"/>
    <row r="649" ht="15.75" customHeight="1" s="55"/>
    <row r="650" ht="15.75" customHeight="1" s="55"/>
    <row r="651" ht="15.75" customHeight="1" s="55"/>
    <row r="652" ht="15.75" customHeight="1" s="55"/>
    <row r="653" ht="15.75" customHeight="1" s="55"/>
    <row r="654" ht="15.75" customHeight="1" s="55"/>
    <row r="655" ht="15.75" customHeight="1" s="55"/>
    <row r="656" ht="15.75" customHeight="1" s="55"/>
    <row r="657" ht="15.75" customHeight="1" s="55"/>
    <row r="658" ht="15.75" customHeight="1" s="55"/>
    <row r="659" ht="15.75" customHeight="1" s="55"/>
    <row r="660" ht="15.75" customHeight="1" s="55"/>
    <row r="661" ht="15.75" customHeight="1" s="55"/>
    <row r="662" ht="15.75" customHeight="1" s="55"/>
    <row r="663" ht="15.75" customHeight="1" s="55"/>
    <row r="664" ht="15.75" customHeight="1" s="55"/>
    <row r="665" ht="15.75" customHeight="1" s="55"/>
    <row r="666" ht="15.75" customHeight="1" s="55"/>
    <row r="667" ht="15.75" customHeight="1" s="55"/>
    <row r="668" ht="15.75" customHeight="1" s="55"/>
    <row r="669" ht="15.75" customHeight="1" s="55"/>
    <row r="670" ht="15.75" customHeight="1" s="55"/>
    <row r="671" ht="15.75" customHeight="1" s="55"/>
    <row r="672" ht="15.75" customHeight="1" s="55"/>
    <row r="673" ht="15.75" customHeight="1" s="55"/>
    <row r="674" ht="15.75" customHeight="1" s="55"/>
    <row r="675" ht="15.75" customHeight="1" s="55"/>
    <row r="676" ht="15.75" customHeight="1" s="55"/>
    <row r="677" ht="15.75" customHeight="1" s="55"/>
    <row r="678" ht="15.75" customHeight="1" s="55"/>
    <row r="679" ht="15.75" customHeight="1" s="55"/>
    <row r="680" ht="15.75" customHeight="1" s="55"/>
    <row r="681" ht="15.75" customHeight="1" s="55"/>
    <row r="682" ht="15.75" customHeight="1" s="55"/>
    <row r="683" ht="15.75" customHeight="1" s="55"/>
    <row r="684" ht="15.75" customHeight="1" s="55"/>
    <row r="685" ht="15.75" customHeight="1" s="55"/>
    <row r="686" ht="15.75" customHeight="1" s="55"/>
    <row r="687" ht="15.75" customHeight="1" s="55"/>
    <row r="688" ht="15.75" customHeight="1" s="55"/>
    <row r="689" ht="15.75" customHeight="1" s="55"/>
    <row r="690" ht="15.75" customHeight="1" s="55"/>
    <row r="691" ht="15.75" customHeight="1" s="55"/>
    <row r="692" ht="15.75" customHeight="1" s="55"/>
    <row r="693" ht="15.75" customHeight="1" s="55"/>
    <row r="694" ht="15.75" customHeight="1" s="55"/>
    <row r="695" ht="15.75" customHeight="1" s="55"/>
    <row r="696" ht="15.75" customHeight="1" s="55"/>
    <row r="697" ht="15.75" customHeight="1" s="55"/>
    <row r="698" ht="15.75" customHeight="1" s="55"/>
    <row r="699" ht="15.75" customHeight="1" s="55"/>
    <row r="700" ht="15.75" customHeight="1" s="55"/>
    <row r="701" ht="15.75" customHeight="1" s="55"/>
    <row r="702" ht="15.75" customHeight="1" s="55"/>
    <row r="703" ht="15.75" customHeight="1" s="55"/>
    <row r="704" ht="15.75" customHeight="1" s="55"/>
    <row r="705" ht="15.75" customHeight="1" s="55"/>
    <row r="706" ht="15.75" customHeight="1" s="55"/>
    <row r="707" ht="15.75" customHeight="1" s="55"/>
    <row r="708" ht="15.75" customHeight="1" s="55"/>
    <row r="709" ht="15.75" customHeight="1" s="55"/>
    <row r="710" ht="15.75" customHeight="1" s="55"/>
    <row r="711" ht="15.75" customHeight="1" s="55"/>
    <row r="712" ht="15.75" customHeight="1" s="55"/>
    <row r="713" ht="15.75" customHeight="1" s="55"/>
    <row r="714" ht="15.75" customHeight="1" s="55"/>
    <row r="715" ht="15.75" customHeight="1" s="55"/>
    <row r="716" ht="15.75" customHeight="1" s="55"/>
    <row r="717" ht="15.75" customHeight="1" s="55"/>
    <row r="718" ht="15.75" customHeight="1" s="55"/>
    <row r="719" ht="15.75" customHeight="1" s="55"/>
    <row r="720" ht="15.75" customHeight="1" s="55"/>
    <row r="721" ht="15.75" customHeight="1" s="55"/>
    <row r="722" ht="15.75" customHeight="1" s="55"/>
    <row r="723" ht="15.75" customHeight="1" s="55"/>
    <row r="724" ht="15.75" customHeight="1" s="55"/>
    <row r="725" ht="15.75" customHeight="1" s="55"/>
    <row r="726" ht="15.75" customHeight="1" s="55"/>
    <row r="727" ht="15.75" customHeight="1" s="55"/>
    <row r="728" ht="15.75" customHeight="1" s="55"/>
    <row r="729" ht="15.75" customHeight="1" s="55"/>
    <row r="730" ht="15.75" customHeight="1" s="55"/>
    <row r="731" ht="15.75" customHeight="1" s="55"/>
    <row r="732" ht="15.75" customHeight="1" s="55"/>
    <row r="733" ht="15.75" customHeight="1" s="55"/>
    <row r="734" ht="15.75" customHeight="1" s="55"/>
    <row r="735" ht="15.75" customHeight="1" s="55"/>
    <row r="736" ht="15.75" customHeight="1" s="55"/>
    <row r="737" ht="15.75" customHeight="1" s="55"/>
    <row r="738" ht="15.75" customHeight="1" s="55"/>
    <row r="739" ht="15.75" customHeight="1" s="55"/>
    <row r="740" ht="15.75" customHeight="1" s="55"/>
    <row r="741" ht="15.75" customHeight="1" s="55"/>
    <row r="742" ht="15.75" customHeight="1" s="55"/>
    <row r="743" ht="15.75" customHeight="1" s="55"/>
    <row r="744" ht="15.75" customHeight="1" s="55"/>
    <row r="745" ht="15.75" customHeight="1" s="55"/>
    <row r="746" ht="15.75" customHeight="1" s="55"/>
    <row r="747" ht="15.75" customHeight="1" s="55"/>
    <row r="748" ht="15.75" customHeight="1" s="55"/>
    <row r="749" ht="15.75" customHeight="1" s="55"/>
    <row r="750" ht="15.75" customHeight="1" s="55"/>
    <row r="751" ht="15.75" customHeight="1" s="55"/>
    <row r="752" ht="15.75" customHeight="1" s="55"/>
    <row r="753" ht="15.75" customHeight="1" s="55"/>
    <row r="754" ht="15.75" customHeight="1" s="55"/>
    <row r="755" ht="15.75" customHeight="1" s="55"/>
    <row r="756" ht="15.75" customHeight="1" s="55"/>
    <row r="757" ht="15.75" customHeight="1" s="55"/>
    <row r="758" ht="15.75" customHeight="1" s="55"/>
    <row r="759" ht="15.75" customHeight="1" s="55"/>
    <row r="760" ht="15.75" customHeight="1" s="55"/>
    <row r="761" ht="15.75" customHeight="1" s="55"/>
    <row r="762" ht="15.75" customHeight="1" s="55"/>
    <row r="763" ht="15.75" customHeight="1" s="55"/>
    <row r="764" ht="15.75" customHeight="1" s="55"/>
    <row r="765" ht="15.75" customHeight="1" s="55"/>
    <row r="766" ht="15.75" customHeight="1" s="55"/>
    <row r="767" ht="15.75" customHeight="1" s="55"/>
    <row r="768" ht="15.75" customHeight="1" s="55"/>
    <row r="769" ht="15.75" customHeight="1" s="55"/>
    <row r="770" ht="15.75" customHeight="1" s="55"/>
    <row r="771" ht="15.75" customHeight="1" s="55"/>
    <row r="772" ht="15.75" customHeight="1" s="55"/>
    <row r="773" ht="15.75" customHeight="1" s="55"/>
    <row r="774" ht="15.75" customHeight="1" s="55"/>
    <row r="775" ht="15.75" customHeight="1" s="55"/>
    <row r="776" ht="15.75" customHeight="1" s="55"/>
    <row r="777" ht="15.75" customHeight="1" s="55"/>
    <row r="778" ht="15.75" customHeight="1" s="55"/>
    <row r="779" ht="15.75" customHeight="1" s="55"/>
    <row r="780" ht="15.75" customHeight="1" s="55"/>
    <row r="781" ht="15.75" customHeight="1" s="55"/>
    <row r="782" ht="15.75" customHeight="1" s="55"/>
    <row r="783" ht="15.75" customHeight="1" s="55"/>
    <row r="784" ht="15.75" customHeight="1" s="55"/>
    <row r="785" ht="15.75" customHeight="1" s="55"/>
    <row r="786" ht="15.75" customHeight="1" s="55"/>
    <row r="787" ht="15.75" customHeight="1" s="55"/>
    <row r="788" ht="15.75" customHeight="1" s="55"/>
    <row r="789" ht="15.75" customHeight="1" s="55"/>
    <row r="790" ht="15.75" customHeight="1" s="55"/>
    <row r="791" ht="15.75" customHeight="1" s="55"/>
    <row r="792" ht="15.75" customHeight="1" s="55"/>
    <row r="793" ht="15.75" customHeight="1" s="55"/>
    <row r="794" ht="15.75" customHeight="1" s="55"/>
    <row r="795" ht="15.75" customHeight="1" s="55"/>
    <row r="796" ht="15.75" customHeight="1" s="55"/>
    <row r="797" ht="15.75" customHeight="1" s="55"/>
    <row r="798" ht="15.75" customHeight="1" s="55"/>
    <row r="799" ht="15.75" customHeight="1" s="55"/>
    <row r="800" ht="15.75" customHeight="1" s="55"/>
    <row r="801" ht="15.75" customHeight="1" s="55"/>
    <row r="802" ht="15.75" customHeight="1" s="55"/>
    <row r="803" ht="15.75" customHeight="1" s="55"/>
    <row r="804" ht="15.75" customHeight="1" s="55"/>
    <row r="805" ht="15.75" customHeight="1" s="55"/>
    <row r="806" ht="15.75" customHeight="1" s="55"/>
    <row r="807" ht="15.75" customHeight="1" s="55"/>
    <row r="808" ht="15.75" customHeight="1" s="55"/>
    <row r="809" ht="15.75" customHeight="1" s="55"/>
    <row r="810" ht="15.75" customHeight="1" s="55"/>
    <row r="811" ht="15.75" customHeight="1" s="55"/>
    <row r="812" ht="15.75" customHeight="1" s="55"/>
    <row r="813" ht="15.75" customHeight="1" s="55"/>
    <row r="814" ht="15.75" customHeight="1" s="55"/>
    <row r="815" ht="15.75" customHeight="1" s="55"/>
    <row r="816" ht="15.75" customHeight="1" s="55"/>
    <row r="817" ht="15.75" customHeight="1" s="55"/>
    <row r="818" ht="15.75" customHeight="1" s="55"/>
    <row r="819" ht="15.75" customHeight="1" s="55"/>
    <row r="820" ht="15.75" customHeight="1" s="55"/>
    <row r="821" ht="15.75" customHeight="1" s="55"/>
    <row r="822" ht="15.75" customHeight="1" s="55"/>
    <row r="823" ht="15.75" customHeight="1" s="55"/>
    <row r="824" ht="15.75" customHeight="1" s="55"/>
    <row r="825" ht="15.75" customHeight="1" s="55"/>
    <row r="826" ht="15.75" customHeight="1" s="55"/>
    <row r="827" ht="15.75" customHeight="1" s="55"/>
    <row r="828" ht="15.75" customHeight="1" s="55"/>
    <row r="829" ht="15.75" customHeight="1" s="55"/>
    <row r="830" ht="15.75" customHeight="1" s="55"/>
    <row r="831" ht="15.75" customHeight="1" s="55"/>
    <row r="832" ht="15.75" customHeight="1" s="55"/>
    <row r="833" ht="15.75" customHeight="1" s="55"/>
    <row r="834" ht="15.75" customHeight="1" s="55"/>
    <row r="835" ht="15.75" customHeight="1" s="55"/>
    <row r="836" ht="15.75" customHeight="1" s="55"/>
    <row r="837" ht="15.75" customHeight="1" s="55"/>
    <row r="838" ht="15.75" customHeight="1" s="55"/>
    <row r="839" ht="15.75" customHeight="1" s="55"/>
    <row r="840" ht="15.75" customHeight="1" s="55"/>
    <row r="841" ht="15.75" customHeight="1" s="55"/>
    <row r="842" ht="15.75" customHeight="1" s="55"/>
    <row r="843" ht="15.75" customHeight="1" s="55"/>
    <row r="844" ht="15.75" customHeight="1" s="55"/>
    <row r="845" ht="15.75" customHeight="1" s="55"/>
    <row r="846" ht="15.75" customHeight="1" s="55"/>
    <row r="847" ht="15.75" customHeight="1" s="55"/>
    <row r="848" ht="15.75" customHeight="1" s="55"/>
    <row r="849" ht="15.75" customHeight="1" s="55"/>
    <row r="850" ht="15.75" customHeight="1" s="55"/>
    <row r="851" ht="15.75" customHeight="1" s="55"/>
    <row r="852" ht="15.75" customHeight="1" s="55"/>
    <row r="853" ht="15.75" customHeight="1" s="55"/>
    <row r="854" ht="15.75" customHeight="1" s="55"/>
    <row r="855" ht="15.75" customHeight="1" s="55"/>
    <row r="856" ht="15.75" customHeight="1" s="55"/>
    <row r="857" ht="15.75" customHeight="1" s="55"/>
    <row r="858" ht="15.75" customHeight="1" s="55"/>
    <row r="859" ht="15.75" customHeight="1" s="55"/>
    <row r="860" ht="15.75" customHeight="1" s="55"/>
    <row r="861" ht="15.75" customHeight="1" s="55"/>
    <row r="862" ht="15.75" customHeight="1" s="55"/>
    <row r="863" ht="15.75" customHeight="1" s="55"/>
    <row r="864" ht="15.75" customHeight="1" s="55"/>
    <row r="865" ht="15.75" customHeight="1" s="55"/>
    <row r="866" ht="15.75" customHeight="1" s="55"/>
    <row r="867" ht="15.75" customHeight="1" s="55"/>
    <row r="868" ht="15.75" customHeight="1" s="55"/>
    <row r="869" ht="15.75" customHeight="1" s="55"/>
    <row r="870" ht="15.75" customHeight="1" s="55"/>
    <row r="871" ht="15.75" customHeight="1" s="55"/>
    <row r="872" ht="15.75" customHeight="1" s="55"/>
    <row r="873" ht="15.75" customHeight="1" s="55"/>
    <row r="874" ht="15.75" customHeight="1" s="55"/>
    <row r="875" ht="15.75" customHeight="1" s="55"/>
    <row r="876" ht="15.75" customHeight="1" s="55"/>
    <row r="877" ht="15.75" customHeight="1" s="55"/>
    <row r="878" ht="15.75" customHeight="1" s="55"/>
    <row r="879" ht="15.75" customHeight="1" s="55"/>
    <row r="880" ht="15.75" customHeight="1" s="55"/>
    <row r="881" ht="15.75" customHeight="1" s="55"/>
    <row r="882" ht="15.75" customHeight="1" s="55"/>
    <row r="883" ht="15.75" customHeight="1" s="55"/>
    <row r="884" ht="15.75" customHeight="1" s="55"/>
    <row r="885" ht="15.75" customHeight="1" s="55"/>
    <row r="886" ht="15.75" customHeight="1" s="55"/>
    <row r="887" ht="15.75" customHeight="1" s="55"/>
    <row r="888" ht="15.75" customHeight="1" s="55"/>
    <row r="889" ht="15.75" customHeight="1" s="55"/>
    <row r="890" ht="15.75" customHeight="1" s="55"/>
    <row r="891" ht="15.75" customHeight="1" s="55"/>
    <row r="892" ht="15.75" customHeight="1" s="55"/>
    <row r="893" ht="15.75" customHeight="1" s="55"/>
    <row r="894" ht="15.75" customHeight="1" s="55"/>
    <row r="895" ht="15.75" customHeight="1" s="55"/>
    <row r="896" ht="15.75" customHeight="1" s="55"/>
    <row r="897" ht="15.75" customHeight="1" s="55"/>
    <row r="898" ht="15.75" customHeight="1" s="55"/>
    <row r="899" ht="15.75" customHeight="1" s="55"/>
    <row r="900" ht="15.75" customHeight="1" s="55"/>
    <row r="901" ht="15.75" customHeight="1" s="55"/>
    <row r="902" ht="15.75" customHeight="1" s="55"/>
    <row r="903" ht="15.75" customHeight="1" s="55"/>
    <row r="904" ht="15.75" customHeight="1" s="55"/>
    <row r="905" ht="15.75" customHeight="1" s="55"/>
    <row r="906" ht="15.75" customHeight="1" s="55"/>
    <row r="907" ht="15.75" customHeight="1" s="55"/>
    <row r="908" ht="15.75" customHeight="1" s="55"/>
    <row r="909" ht="15.75" customHeight="1" s="55"/>
    <row r="910" ht="15.75" customHeight="1" s="55"/>
    <row r="911" ht="15.75" customHeight="1" s="55"/>
    <row r="912" ht="15.75" customHeight="1" s="55"/>
    <row r="913" ht="15.75" customHeight="1" s="55"/>
    <row r="914" ht="15.75" customHeight="1" s="55"/>
    <row r="915" ht="15.75" customHeight="1" s="55"/>
    <row r="916" ht="15.75" customHeight="1" s="55"/>
    <row r="917" ht="15.75" customHeight="1" s="55"/>
    <row r="918" ht="15.75" customHeight="1" s="55"/>
    <row r="919" ht="15.75" customHeight="1" s="55"/>
    <row r="920" ht="15.75" customHeight="1" s="55"/>
    <row r="921" ht="15.75" customHeight="1" s="55"/>
    <row r="922" ht="15.75" customHeight="1" s="55"/>
    <row r="923" ht="15.75" customHeight="1" s="55"/>
    <row r="924" ht="15.75" customHeight="1" s="55"/>
    <row r="925" ht="15.75" customHeight="1" s="55"/>
    <row r="926" ht="15.75" customHeight="1" s="55"/>
    <row r="927" ht="15.75" customHeight="1" s="55"/>
    <row r="928" ht="15.75" customHeight="1" s="55"/>
    <row r="929" ht="15.75" customHeight="1" s="55"/>
    <row r="930" ht="15.75" customHeight="1" s="55"/>
    <row r="931" ht="15.75" customHeight="1" s="55"/>
    <row r="932" ht="15.75" customHeight="1" s="55"/>
    <row r="933" ht="15.75" customHeight="1" s="55"/>
    <row r="934" ht="15.75" customHeight="1" s="55"/>
    <row r="935" ht="15.75" customHeight="1" s="55"/>
    <row r="936" ht="15.75" customHeight="1" s="55"/>
    <row r="937" ht="15.75" customHeight="1" s="55"/>
    <row r="938" ht="15.75" customHeight="1" s="55"/>
    <row r="939" ht="15.75" customHeight="1" s="55"/>
    <row r="940" ht="15.75" customHeight="1" s="55"/>
    <row r="941" ht="15.75" customHeight="1" s="55"/>
    <row r="942" ht="15.75" customHeight="1" s="55"/>
    <row r="943" ht="15.75" customHeight="1" s="55"/>
    <row r="944" ht="15.75" customHeight="1" s="55"/>
    <row r="945" ht="15.75" customHeight="1" s="55"/>
    <row r="946" ht="15.75" customHeight="1" s="55"/>
    <row r="947" ht="15.75" customHeight="1" s="55"/>
    <row r="948" ht="15.75" customHeight="1" s="55"/>
    <row r="949" ht="15.75" customHeight="1" s="55"/>
    <row r="950" ht="15.75" customHeight="1" s="55"/>
    <row r="951" ht="15.75" customHeight="1" s="55"/>
    <row r="952" ht="15.75" customHeight="1" s="55"/>
    <row r="953" ht="15.75" customHeight="1" s="55"/>
    <row r="954" ht="15.75" customHeight="1" s="55"/>
    <row r="955" ht="15.75" customHeight="1" s="55"/>
    <row r="956" ht="15.75" customHeight="1" s="55"/>
    <row r="957" ht="15.75" customHeight="1" s="55"/>
    <row r="958" ht="15.75" customHeight="1" s="55"/>
    <row r="959" ht="15.75" customHeight="1" s="55"/>
    <row r="960" ht="15.75" customHeight="1" s="55"/>
    <row r="961" ht="15.75" customHeight="1" s="55"/>
    <row r="962" ht="15.75" customHeight="1" s="55"/>
    <row r="963" ht="15.75" customHeight="1" s="55"/>
    <row r="964" ht="15.75" customHeight="1" s="55"/>
    <row r="965" ht="15.75" customHeight="1" s="55"/>
    <row r="966" ht="15.75" customHeight="1" s="55"/>
    <row r="967" ht="15.75" customHeight="1" s="55"/>
    <row r="968" ht="15.75" customHeight="1" s="55"/>
    <row r="969" ht="15.75" customHeight="1" s="55"/>
    <row r="970" ht="15.75" customHeight="1" s="55"/>
    <row r="971" ht="15.75" customHeight="1" s="55"/>
    <row r="972" ht="15.75" customHeight="1" s="55"/>
    <row r="973" ht="15.75" customHeight="1" s="55"/>
    <row r="974" ht="15.75" customHeight="1" s="55"/>
    <row r="975" ht="15.75" customHeight="1" s="55"/>
    <row r="976" ht="15.75" customHeight="1" s="55"/>
    <row r="977" ht="15.75" customHeight="1" s="55"/>
    <row r="978" ht="15.75" customHeight="1" s="55"/>
    <row r="979" ht="15.75" customHeight="1" s="55"/>
    <row r="980" ht="15.75" customHeight="1" s="55"/>
    <row r="981" ht="15.75" customHeight="1" s="55"/>
    <row r="982" ht="15.75" customHeight="1" s="55"/>
    <row r="983" ht="15.75" customHeight="1" s="55"/>
    <row r="984" ht="15.75" customHeight="1" s="55"/>
    <row r="985" ht="15.75" customHeight="1" s="55"/>
    <row r="986" ht="15.75" customHeight="1" s="55"/>
    <row r="987" ht="15.75" customHeight="1" s="55"/>
    <row r="988" ht="15.75" customHeight="1" s="55"/>
    <row r="989" ht="15.75" customHeight="1" s="55"/>
    <row r="990" ht="15.75" customHeight="1" s="55"/>
    <row r="991" ht="15.75" customHeight="1" s="55"/>
    <row r="992" ht="15.75" customHeight="1" s="55"/>
    <row r="993" ht="15.75" customHeight="1" s="55"/>
    <row r="994" ht="15.75" customHeight="1" s="55"/>
    <row r="995" ht="15.75" customHeight="1" s="55"/>
    <row r="996" ht="15.75" customHeight="1" s="55"/>
    <row r="997" ht="15.75" customHeight="1" s="55"/>
    <row r="998" ht="15.75" customHeight="1" s="55"/>
    <row r="999" ht="15.75" customHeight="1" s="55"/>
    <row r="1000" ht="15.75" customHeight="1" s="55"/>
    <row r="1001" ht="15.75" customHeight="1" s="55"/>
    <row r="1002" ht="15.75" customHeight="1" s="55"/>
    <row r="1003" ht="15.75" customHeight="1" s="55"/>
    <row r="1004" ht="15.75" customHeight="1" s="55"/>
    <row r="1005" ht="15.75" customHeight="1" s="55"/>
    <row r="1006" ht="15.75" customHeight="1" s="55"/>
  </sheetData>
  <mergeCells count="11">
    <mergeCell ref="C26:AA26"/>
    <mergeCell ref="C3:AA3"/>
    <mergeCell ref="C38:AA38"/>
    <mergeCell ref="C14:AA14"/>
    <mergeCell ref="C22:AA22"/>
    <mergeCell ref="C18:AA18"/>
    <mergeCell ref="C43:AA43"/>
    <mergeCell ref="C8:AA8"/>
    <mergeCell ref="C4:AA4"/>
    <mergeCell ref="C34:AA34"/>
    <mergeCell ref="C30:AA30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</row>
    <row r="2">
      <c r="A2" t="inlineStr">
        <is>
          <t>Cartão de Crédito</t>
        </is>
      </c>
    </row>
    <row r="3">
      <c r="A3" t="inlineStr">
        <is>
          <t>Cartão de Débito</t>
        </is>
      </c>
    </row>
    <row r="4">
      <c r="A4" t="inlineStr">
        <is>
          <t>Pix</t>
        </is>
      </c>
    </row>
    <row r="5">
      <c r="A5" t="inlineStr">
        <is>
          <t>Dinheiro</t>
        </is>
      </c>
    </row>
    <row r="6">
      <c r="A6" t="inlineStr">
        <is>
          <t>Boleto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2020-06-21T23:58:17Z</dcterms:created>
  <dcterms:modified xsi:type="dcterms:W3CDTF">2026-08-09T22:34:52Z</dcterms:modified>
</cp:coreProperties>
</file>